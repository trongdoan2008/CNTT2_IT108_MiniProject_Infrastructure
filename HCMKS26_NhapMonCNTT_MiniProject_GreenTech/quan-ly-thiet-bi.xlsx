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-muc-linh-kien" sheetId="1" state="visible" r:id="rId3"/>
    <sheet name="trang-thai-tram" sheetId="2" state="visible" r:id="rId4"/>
    <sheet name="tinh-thoi-gian-tai-log" sheetId="3" state="visible" r:id="rId5"/>
  </sheets>
  <definedNames>
    <definedName function="false" hidden="true" localSheetId="0" name="_xlnm._FilterDatabase" vbProcedure="false">'danh-muc-linh-kien'!$A$1:$D$11</definedName>
    <definedName function="false" hidden="true" localSheetId="1" name="_xlnm._FilterDatabase" vbProcedure="false">'trang-thai-tram'!$A$1:$F$101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Co 9 o co khoang trang thua (vd ' LK003', 'LK001 ') co y de minh hoa loi #N/A. Cot E dung TRIM() de lam sach truoc khi VLOOKUP.</t>
        </r>
      </text>
    </comment>
  </commentList>
</comments>
</file>

<file path=xl/sharedStrings.xml><?xml version="1.0" encoding="utf-8"?>
<sst xmlns="http://schemas.openxmlformats.org/spreadsheetml/2006/main" count="255" uniqueCount="154">
  <si>
    <t xml:space="preserve">ma_linh_kien</t>
  </si>
  <si>
    <t xml:space="preserve">ten_thiet_bi</t>
  </si>
  <si>
    <t xml:space="preserve">don_gia</t>
  </si>
  <si>
    <t xml:space="preserve">loai_storage</t>
  </si>
  <si>
    <t xml:space="preserve">LK001</t>
  </si>
  <si>
    <t xml:space="preserve">CPU ARM Cortex-A72 1.5GHz</t>
  </si>
  <si>
    <t xml:space="preserve">N/A</t>
  </si>
  <si>
    <t xml:space="preserve">LK002</t>
  </si>
  <si>
    <t xml:space="preserve">CPU ESP32-S3 Dual-core 240MHz</t>
  </si>
  <si>
    <t xml:space="preserve">LK003</t>
  </si>
  <si>
    <t xml:space="preserve">CPU NVIDIA Jetson Nano</t>
  </si>
  <si>
    <t xml:space="preserve">LK004</t>
  </si>
  <si>
    <t xml:space="preserve">RAM LPDDR4 2GB</t>
  </si>
  <si>
    <t xml:space="preserve">LK005</t>
  </si>
  <si>
    <t xml:space="preserve">RAM LPDDR4 4GB</t>
  </si>
  <si>
    <t xml:space="preserve">LK006</t>
  </si>
  <si>
    <t xml:space="preserve">RAM LPDDR4 8GB</t>
  </si>
  <si>
    <t xml:space="preserve">LK007</t>
  </si>
  <si>
    <t xml:space="preserve">SSD NVMe 128GB</t>
  </si>
  <si>
    <t xml:space="preserve">SSD</t>
  </si>
  <si>
    <t xml:space="preserve">LK008</t>
  </si>
  <si>
    <t xml:space="preserve">SSD SATA 256GB</t>
  </si>
  <si>
    <t xml:space="preserve">LK009</t>
  </si>
  <si>
    <t xml:space="preserve">HDD 2.5 inch 500GB</t>
  </si>
  <si>
    <t xml:space="preserve">HDD</t>
  </si>
  <si>
    <t xml:space="preserve">LK010</t>
  </si>
  <si>
    <t xml:space="preserve">SSD NVMe 512GB</t>
  </si>
  <si>
    <t xml:space="preserve">ma_tram</t>
  </si>
  <si>
    <t xml:space="preserve">dung_luong_ram</t>
  </si>
  <si>
    <t xml:space="preserve">ngay_lap_dat</t>
  </si>
  <si>
    <t xml:space="preserve">TRAM-001</t>
  </si>
  <si>
    <t xml:space="preserve">TRAM-002</t>
  </si>
  <si>
    <t xml:space="preserve">TRAM-003</t>
  </si>
  <si>
    <t xml:space="preserve">TRAM-004</t>
  </si>
  <si>
    <t xml:space="preserve">TRAM-005</t>
  </si>
  <si>
    <t xml:space="preserve">TRAM-006</t>
  </si>
  <si>
    <t xml:space="preserve">TRAM-007</t>
  </si>
  <si>
    <t xml:space="preserve"> LK003</t>
  </si>
  <si>
    <t xml:space="preserve">TRAM-008</t>
  </si>
  <si>
    <t xml:space="preserve">TRAM-009</t>
  </si>
  <si>
    <t xml:space="preserve">TRAM-010</t>
  </si>
  <si>
    <t xml:space="preserve">TRAM-011</t>
  </si>
  <si>
    <t xml:space="preserve">TRAM-012</t>
  </si>
  <si>
    <t xml:space="preserve">TRAM-013</t>
  </si>
  <si>
    <t xml:space="preserve">TRAM-014</t>
  </si>
  <si>
    <t xml:space="preserve">TRAM-015</t>
  </si>
  <si>
    <t xml:space="preserve">LK001 </t>
  </si>
  <si>
    <t xml:space="preserve">TRAM-016</t>
  </si>
  <si>
    <t xml:space="preserve">TRAM-017</t>
  </si>
  <si>
    <t xml:space="preserve">TRAM-018</t>
  </si>
  <si>
    <t xml:space="preserve">TRAM-019</t>
  </si>
  <si>
    <t xml:space="preserve">TRAM-020</t>
  </si>
  <si>
    <t xml:space="preserve">TRAM-021</t>
  </si>
  <si>
    <t xml:space="preserve">TRAM-022</t>
  </si>
  <si>
    <t xml:space="preserve">TRAM-023</t>
  </si>
  <si>
    <t xml:space="preserve">LK007  </t>
  </si>
  <si>
    <t xml:space="preserve">TRAM-024</t>
  </si>
  <si>
    <t xml:space="preserve">TRAM-025</t>
  </si>
  <si>
    <t xml:space="preserve">TRAM-026</t>
  </si>
  <si>
    <t xml:space="preserve">TRAM-027</t>
  </si>
  <si>
    <t xml:space="preserve">TRAM-028</t>
  </si>
  <si>
    <t xml:space="preserve">TRAM-029</t>
  </si>
  <si>
    <t xml:space="preserve">TRAM-030</t>
  </si>
  <si>
    <t xml:space="preserve">TRAM-031</t>
  </si>
  <si>
    <t xml:space="preserve"> LK009 </t>
  </si>
  <si>
    <t xml:space="preserve">TRAM-032</t>
  </si>
  <si>
    <t xml:space="preserve">TRAM-033</t>
  </si>
  <si>
    <t xml:space="preserve">TRAM-034</t>
  </si>
  <si>
    <t xml:space="preserve">TRAM-035</t>
  </si>
  <si>
    <t xml:space="preserve">TRAM-036</t>
  </si>
  <si>
    <t xml:space="preserve">TRAM-037</t>
  </si>
  <si>
    <t xml:space="preserve">TRAM-038</t>
  </si>
  <si>
    <t xml:space="preserve">TRAM-039</t>
  </si>
  <si>
    <t xml:space="preserve">TRAM-040</t>
  </si>
  <si>
    <t xml:space="preserve">TRAM-041</t>
  </si>
  <si>
    <t xml:space="preserve">TRAM-042</t>
  </si>
  <si>
    <t xml:space="preserve">TRAM-043</t>
  </si>
  <si>
    <t xml:space="preserve">TRAM-044</t>
  </si>
  <si>
    <t xml:space="preserve">LK002 </t>
  </si>
  <si>
    <t xml:space="preserve">TRAM-045</t>
  </si>
  <si>
    <t xml:space="preserve">TRAM-046</t>
  </si>
  <si>
    <t xml:space="preserve">TRAM-047</t>
  </si>
  <si>
    <t xml:space="preserve">TRAM-048</t>
  </si>
  <si>
    <t xml:space="preserve">TRAM-049</t>
  </si>
  <si>
    <t xml:space="preserve">TRAM-050</t>
  </si>
  <si>
    <t xml:space="preserve">TRAM-051</t>
  </si>
  <si>
    <t xml:space="preserve">TRAM-052</t>
  </si>
  <si>
    <t xml:space="preserve">TRAM-053</t>
  </si>
  <si>
    <t xml:space="preserve">TRAM-054</t>
  </si>
  <si>
    <t xml:space="preserve">TRAM-055</t>
  </si>
  <si>
    <t xml:space="preserve">TRAM-056</t>
  </si>
  <si>
    <t xml:space="preserve">TRAM-057</t>
  </si>
  <si>
    <t xml:space="preserve">TRAM-058</t>
  </si>
  <si>
    <t xml:space="preserve"> LK010</t>
  </si>
  <si>
    <t xml:space="preserve">TRAM-059</t>
  </si>
  <si>
    <t xml:space="preserve">TRAM-060</t>
  </si>
  <si>
    <t xml:space="preserve">TRAM-061</t>
  </si>
  <si>
    <t xml:space="preserve">TRAM-062</t>
  </si>
  <si>
    <t xml:space="preserve">TRAM-063</t>
  </si>
  <si>
    <t xml:space="preserve">TRAM-064</t>
  </si>
  <si>
    <t xml:space="preserve">TRAM-065</t>
  </si>
  <si>
    <t xml:space="preserve">TRAM-066</t>
  </si>
  <si>
    <t xml:space="preserve">TRAM-067</t>
  </si>
  <si>
    <t xml:space="preserve">TRAM-068</t>
  </si>
  <si>
    <t xml:space="preserve">TRAM-069</t>
  </si>
  <si>
    <t xml:space="preserve">TRAM-070</t>
  </si>
  <si>
    <t xml:space="preserve">TRAM-071</t>
  </si>
  <si>
    <t xml:space="preserve">LK005 </t>
  </si>
  <si>
    <t xml:space="preserve">TRAM-072</t>
  </si>
  <si>
    <t xml:space="preserve">TRAM-073</t>
  </si>
  <si>
    <t xml:space="preserve">TRAM-074</t>
  </si>
  <si>
    <t xml:space="preserve">TRAM-075</t>
  </si>
  <si>
    <t xml:space="preserve">TRAM-076</t>
  </si>
  <si>
    <t xml:space="preserve">TRAM-077</t>
  </si>
  <si>
    <t xml:space="preserve">TRAM-078</t>
  </si>
  <si>
    <t xml:space="preserve">TRAM-079</t>
  </si>
  <si>
    <t xml:space="preserve">TRAM-080</t>
  </si>
  <si>
    <t xml:space="preserve">TRAM-081</t>
  </si>
  <si>
    <t xml:space="preserve">TRAM-082</t>
  </si>
  <si>
    <t xml:space="preserve">TRAM-083</t>
  </si>
  <si>
    <t xml:space="preserve">TRAM-084</t>
  </si>
  <si>
    <t xml:space="preserve">TRAM-085</t>
  </si>
  <si>
    <t xml:space="preserve">TRAM-086</t>
  </si>
  <si>
    <t xml:space="preserve">  LK008</t>
  </si>
  <si>
    <t xml:space="preserve">TRAM-087</t>
  </si>
  <si>
    <t xml:space="preserve">TRAM-088</t>
  </si>
  <si>
    <t xml:space="preserve">TRAM-089</t>
  </si>
  <si>
    <t xml:space="preserve">TRAM-090</t>
  </si>
  <si>
    <t xml:space="preserve">TRAM-091</t>
  </si>
  <si>
    <t xml:space="preserve">TRAM-092</t>
  </si>
  <si>
    <t xml:space="preserve">TRAM-093</t>
  </si>
  <si>
    <t xml:space="preserve">LK004 </t>
  </si>
  <si>
    <t xml:space="preserve">TRAM-094</t>
  </si>
  <si>
    <t xml:space="preserve">TRAM-095</t>
  </si>
  <si>
    <t xml:space="preserve">TRAM-096</t>
  </si>
  <si>
    <t xml:space="preserve">TRAM-097</t>
  </si>
  <si>
    <t xml:space="preserve">TRAM-098</t>
  </si>
  <si>
    <t xml:space="preserve">TRAM-099</t>
  </si>
  <si>
    <t xml:space="preserve">TRAM-100</t>
  </si>
  <si>
    <t xml:space="preserve">Thong so</t>
  </si>
  <si>
    <t xml:space="preserve">Gia tri</t>
  </si>
  <si>
    <t xml:space="preserve">Ghi chu</t>
  </si>
  <si>
    <t xml:space="preserve">Dung luong log (MB)</t>
  </si>
  <si>
    <t xml:space="preserve">Gia dinh theo de bai: file log 500MB</t>
  </si>
  <si>
    <t xml:space="preserve">Toc do mang (Mbps)</t>
  </si>
  <si>
    <t xml:space="preserve">Gia dinh - sua theo mang thuc te</t>
  </si>
  <si>
    <t xml:space="preserve">He so quy doi bit-&gt;byte</t>
  </si>
  <si>
    <t xml:space="preserve">1 byte = 8 bit</t>
  </si>
  <si>
    <t xml:space="preserve">Toc do (MB/s)</t>
  </si>
  <si>
    <t xml:space="preserve">Mbps chia 8</t>
  </si>
  <si>
    <t xml:space="preserve">Thoi gian tai (giay)</t>
  </si>
  <si>
    <t xml:space="preserve">MB chia MB/s</t>
  </si>
  <si>
    <t xml:space="preserve">Thoi gian tai (phut)</t>
  </si>
  <si>
    <t xml:space="preserve">Chu thich: chu xanh duong = gia tri nhap/gia dinh (sua duoc); den = cong thuc. Don gia linh kien trong sheet 1 la gia tri minh hoa, khong phai bao gia that.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</si>
</sst>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/mm/yyyy"/>
    <numFmt numFmtId="167" formatCode="0.0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D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3" t="n">
        <v>1450000</v>
      </c>
      <c r="D2" s="2" t="s">
        <v>6</v>
      </c>
    </row>
    <row r="3" customFormat="false" ht="15" hidden="false" customHeight="false" outlineLevel="0" collapsed="false">
      <c r="A3" s="2" t="s">
        <v>7</v>
      </c>
      <c r="B3" s="2" t="s">
        <v>8</v>
      </c>
      <c r="C3" s="3" t="n">
        <v>180000</v>
      </c>
      <c r="D3" s="2" t="s">
        <v>6</v>
      </c>
    </row>
    <row r="4" customFormat="false" ht="15" hidden="false" customHeight="false" outlineLevel="0" collapsed="false">
      <c r="A4" s="2" t="s">
        <v>9</v>
      </c>
      <c r="B4" s="2" t="s">
        <v>10</v>
      </c>
      <c r="C4" s="3" t="n">
        <v>2400000</v>
      </c>
      <c r="D4" s="2" t="s">
        <v>6</v>
      </c>
    </row>
    <row r="5" customFormat="false" ht="15" hidden="false" customHeight="false" outlineLevel="0" collapsed="false">
      <c r="A5" s="2" t="s">
        <v>11</v>
      </c>
      <c r="B5" s="2" t="s">
        <v>12</v>
      </c>
      <c r="C5" s="3" t="n">
        <v>320000</v>
      </c>
      <c r="D5" s="2" t="s">
        <v>6</v>
      </c>
    </row>
    <row r="6" customFormat="false" ht="15" hidden="false" customHeight="false" outlineLevel="0" collapsed="false">
      <c r="A6" s="2" t="s">
        <v>13</v>
      </c>
      <c r="B6" s="2" t="s">
        <v>14</v>
      </c>
      <c r="C6" s="3" t="n">
        <v>540000</v>
      </c>
      <c r="D6" s="2" t="s">
        <v>6</v>
      </c>
    </row>
    <row r="7" customFormat="false" ht="15" hidden="false" customHeight="false" outlineLevel="0" collapsed="false">
      <c r="A7" s="2" t="s">
        <v>15</v>
      </c>
      <c r="B7" s="2" t="s">
        <v>16</v>
      </c>
      <c r="C7" s="3" t="n">
        <v>980000</v>
      </c>
      <c r="D7" s="2" t="s">
        <v>6</v>
      </c>
    </row>
    <row r="8" customFormat="false" ht="15" hidden="false" customHeight="false" outlineLevel="0" collapsed="false">
      <c r="A8" s="2" t="s">
        <v>17</v>
      </c>
      <c r="B8" s="2" t="s">
        <v>18</v>
      </c>
      <c r="C8" s="3" t="n">
        <v>650000</v>
      </c>
      <c r="D8" s="2" t="s">
        <v>19</v>
      </c>
    </row>
    <row r="9" customFormat="false" ht="15" hidden="false" customHeight="false" outlineLevel="0" collapsed="false">
      <c r="A9" s="2" t="s">
        <v>20</v>
      </c>
      <c r="B9" s="2" t="s">
        <v>21</v>
      </c>
      <c r="C9" s="3" t="n">
        <v>890000</v>
      </c>
      <c r="D9" s="2" t="s">
        <v>19</v>
      </c>
    </row>
    <row r="10" customFormat="false" ht="15" hidden="false" customHeight="false" outlineLevel="0" collapsed="false">
      <c r="A10" s="2" t="s">
        <v>22</v>
      </c>
      <c r="B10" s="2" t="s">
        <v>23</v>
      </c>
      <c r="C10" s="3" t="n">
        <v>720000</v>
      </c>
      <c r="D10" s="2" t="s">
        <v>24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3" t="n">
        <v>1350000</v>
      </c>
      <c r="D11" s="2" t="s">
        <v>19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27</v>
      </c>
      <c r="B1" s="1" t="s">
        <v>0</v>
      </c>
      <c r="C1" s="1" t="s">
        <v>28</v>
      </c>
      <c r="D1" s="1" t="s">
        <v>29</v>
      </c>
      <c r="E1" s="1" t="s">
        <v>1</v>
      </c>
      <c r="F1" s="1" t="s">
        <v>2</v>
      </c>
    </row>
    <row r="2" customFormat="false" ht="15" hidden="false" customHeight="false" outlineLevel="0" collapsed="false">
      <c r="A2" s="2" t="s">
        <v>30</v>
      </c>
      <c r="B2" s="2" t="s">
        <v>20</v>
      </c>
      <c r="C2" s="2" t="n">
        <v>16</v>
      </c>
      <c r="D2" s="4" t="n">
        <v>46231</v>
      </c>
      <c r="E2" s="2" t="str">
        <f aca="false">VLOOKUP(TRIM(B2),'danh-muc-linh-kien'!$A$2:$D$11,2,FALSE())</f>
        <v>SSD SATA 256GB</v>
      </c>
      <c r="F2" s="3" t="n">
        <f aca="false">VLOOKUP(TRIM(B2),'danh-muc-linh-kien'!$A$2:$D$11,3,FALSE())</f>
        <v>890000</v>
      </c>
    </row>
    <row r="3" customFormat="false" ht="15" hidden="false" customHeight="false" outlineLevel="0" collapsed="false">
      <c r="A3" s="2" t="s">
        <v>31</v>
      </c>
      <c r="B3" s="2" t="s">
        <v>20</v>
      </c>
      <c r="C3" s="2" t="n">
        <v>4</v>
      </c>
      <c r="D3" s="4" t="n">
        <v>46178</v>
      </c>
      <c r="E3" s="2" t="str">
        <f aca="false">VLOOKUP(TRIM(B3),'danh-muc-linh-kien'!$A$2:$D$11,2,FALSE())</f>
        <v>SSD SATA 256GB</v>
      </c>
      <c r="F3" s="3" t="n">
        <f aca="false">VLOOKUP(TRIM(B3),'danh-muc-linh-kien'!$A$2:$D$11,3,FALSE())</f>
        <v>890000</v>
      </c>
    </row>
    <row r="4" customFormat="false" ht="15" hidden="false" customHeight="false" outlineLevel="0" collapsed="false">
      <c r="A4" s="2" t="s">
        <v>32</v>
      </c>
      <c r="B4" s="2" t="s">
        <v>9</v>
      </c>
      <c r="C4" s="2" t="n">
        <v>16</v>
      </c>
      <c r="D4" s="4" t="n">
        <v>46182</v>
      </c>
      <c r="E4" s="2" t="str">
        <f aca="false">VLOOKUP(TRIM(B4),'danh-muc-linh-kien'!$A$2:$D$11,2,FALSE())</f>
        <v>CPU NVIDIA Jetson Nano</v>
      </c>
      <c r="F4" s="3" t="n">
        <f aca="false">VLOOKUP(TRIM(B4),'danh-muc-linh-kien'!$A$2:$D$11,3,FALSE())</f>
        <v>2400000</v>
      </c>
    </row>
    <row r="5" customFormat="false" ht="15" hidden="false" customHeight="false" outlineLevel="0" collapsed="false">
      <c r="A5" s="2" t="s">
        <v>33</v>
      </c>
      <c r="B5" s="2" t="s">
        <v>25</v>
      </c>
      <c r="C5" s="2" t="n">
        <v>2</v>
      </c>
      <c r="D5" s="4" t="n">
        <v>45848</v>
      </c>
      <c r="E5" s="2" t="str">
        <f aca="false">VLOOKUP(TRIM(B5),'danh-muc-linh-kien'!$A$2:$D$11,2,FALSE())</f>
        <v>SSD NVMe 512GB</v>
      </c>
      <c r="F5" s="3" t="n">
        <f aca="false">VLOOKUP(TRIM(B5),'danh-muc-linh-kien'!$A$2:$D$11,3,FALSE())</f>
        <v>1350000</v>
      </c>
    </row>
    <row r="6" customFormat="false" ht="15" hidden="false" customHeight="false" outlineLevel="0" collapsed="false">
      <c r="A6" s="2" t="s">
        <v>34</v>
      </c>
      <c r="B6" s="2" t="s">
        <v>20</v>
      </c>
      <c r="C6" s="2" t="n">
        <v>4</v>
      </c>
      <c r="D6" s="4" t="n">
        <v>45968</v>
      </c>
      <c r="E6" s="2" t="str">
        <f aca="false">VLOOKUP(TRIM(B6),'danh-muc-linh-kien'!$A$2:$D$11,2,FALSE())</f>
        <v>SSD SATA 256GB</v>
      </c>
      <c r="F6" s="3" t="n">
        <f aca="false">VLOOKUP(TRIM(B6),'danh-muc-linh-kien'!$A$2:$D$11,3,FALSE())</f>
        <v>890000</v>
      </c>
    </row>
    <row r="7" customFormat="false" ht="15" hidden="false" customHeight="false" outlineLevel="0" collapsed="false">
      <c r="A7" s="2" t="s">
        <v>35</v>
      </c>
      <c r="B7" s="2" t="s">
        <v>7</v>
      </c>
      <c r="C7" s="2" t="n">
        <v>2</v>
      </c>
      <c r="D7" s="4" t="n">
        <v>46209</v>
      </c>
      <c r="E7" s="2" t="str">
        <f aca="false">VLOOKUP(TRIM(B7),'danh-muc-linh-kien'!$A$2:$D$11,2,FALSE())</f>
        <v>CPU ESP32-S3 Dual-core 240MHz</v>
      </c>
      <c r="F7" s="3" t="n">
        <f aca="false">VLOOKUP(TRIM(B7),'danh-muc-linh-kien'!$A$2:$D$11,3,FALSE())</f>
        <v>180000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n">
        <v>16</v>
      </c>
      <c r="D8" s="4" t="n">
        <v>46063</v>
      </c>
      <c r="E8" s="2" t="str">
        <f aca="false">VLOOKUP(TRIM(B8),'danh-muc-linh-kien'!$A$2:$D$11,2,FALSE())</f>
        <v>CPU NVIDIA Jetson Nano</v>
      </c>
      <c r="F8" s="3" t="n">
        <f aca="false">VLOOKUP(TRIM(B8),'danh-muc-linh-kien'!$A$2:$D$11,3,FALSE())</f>
        <v>2400000</v>
      </c>
    </row>
    <row r="9" customFormat="false" ht="15" hidden="false" customHeight="false" outlineLevel="0" collapsed="false">
      <c r="A9" s="2" t="s">
        <v>38</v>
      </c>
      <c r="B9" s="2" t="s">
        <v>25</v>
      </c>
      <c r="C9" s="2" t="n">
        <v>2</v>
      </c>
      <c r="D9" s="4" t="n">
        <v>45819</v>
      </c>
      <c r="E9" s="2" t="str">
        <f aca="false">VLOOKUP(TRIM(B9),'danh-muc-linh-kien'!$A$2:$D$11,2,FALSE())</f>
        <v>SSD NVMe 512GB</v>
      </c>
      <c r="F9" s="3" t="n">
        <f aca="false">VLOOKUP(TRIM(B9),'danh-muc-linh-kien'!$A$2:$D$11,3,FALSE())</f>
        <v>1350000</v>
      </c>
    </row>
    <row r="10" customFormat="false" ht="15" hidden="false" customHeight="false" outlineLevel="0" collapsed="false">
      <c r="A10" s="2" t="s">
        <v>39</v>
      </c>
      <c r="B10" s="2" t="s">
        <v>22</v>
      </c>
      <c r="C10" s="2" t="n">
        <v>2</v>
      </c>
      <c r="D10" s="4" t="n">
        <v>45722</v>
      </c>
      <c r="E10" s="2" t="str">
        <f aca="false">VLOOKUP(TRIM(B10),'danh-muc-linh-kien'!$A$2:$D$11,2,FALSE())</f>
        <v>HDD 2.5 inch 500GB</v>
      </c>
      <c r="F10" s="3" t="n">
        <f aca="false">VLOOKUP(TRIM(B10),'danh-muc-linh-kien'!$A$2:$D$11,3,FALSE())</f>
        <v>720000</v>
      </c>
    </row>
    <row r="11" customFormat="false" ht="15" hidden="false" customHeight="false" outlineLevel="0" collapsed="false">
      <c r="A11" s="2" t="s">
        <v>40</v>
      </c>
      <c r="B11" s="2" t="s">
        <v>4</v>
      </c>
      <c r="C11" s="2" t="n">
        <v>4</v>
      </c>
      <c r="D11" s="4" t="n">
        <v>45852</v>
      </c>
      <c r="E11" s="2" t="str">
        <f aca="false">VLOOKUP(TRIM(B11),'danh-muc-linh-kien'!$A$2:$D$11,2,FALSE())</f>
        <v>CPU ARM Cortex-A72 1.5GHz</v>
      </c>
      <c r="F11" s="3" t="n">
        <f aca="false">VLOOKUP(TRIM(B11),'danh-muc-linh-kien'!$A$2:$D$11,3,FALSE())</f>
        <v>1450000</v>
      </c>
    </row>
    <row r="12" customFormat="false" ht="15" hidden="false" customHeight="false" outlineLevel="0" collapsed="false">
      <c r="A12" s="2" t="s">
        <v>41</v>
      </c>
      <c r="B12" s="2" t="s">
        <v>25</v>
      </c>
      <c r="C12" s="2" t="n">
        <v>16</v>
      </c>
      <c r="D12" s="4" t="n">
        <v>45688</v>
      </c>
      <c r="E12" s="2" t="str">
        <f aca="false">VLOOKUP(TRIM(B12),'danh-muc-linh-kien'!$A$2:$D$11,2,FALSE())</f>
        <v>SSD NVMe 512GB</v>
      </c>
      <c r="F12" s="3" t="n">
        <f aca="false">VLOOKUP(TRIM(B12),'danh-muc-linh-kien'!$A$2:$D$11,3,FALSE())</f>
        <v>1350000</v>
      </c>
    </row>
    <row r="13" customFormat="false" ht="15" hidden="false" customHeight="false" outlineLevel="0" collapsed="false">
      <c r="A13" s="2" t="s">
        <v>42</v>
      </c>
      <c r="B13" s="2" t="s">
        <v>15</v>
      </c>
      <c r="C13" s="2" t="n">
        <v>4</v>
      </c>
      <c r="D13" s="4" t="n">
        <v>46109</v>
      </c>
      <c r="E13" s="2" t="str">
        <f aca="false">VLOOKUP(TRIM(B13),'danh-muc-linh-kien'!$A$2:$D$11,2,FALSE())</f>
        <v>RAM LPDDR4 8GB</v>
      </c>
      <c r="F13" s="3" t="n">
        <f aca="false">VLOOKUP(TRIM(B13),'danh-muc-linh-kien'!$A$2:$D$11,3,FALSE())</f>
        <v>980000</v>
      </c>
    </row>
    <row r="14" customFormat="false" ht="15" hidden="false" customHeight="false" outlineLevel="0" collapsed="false">
      <c r="A14" s="2" t="s">
        <v>43</v>
      </c>
      <c r="B14" s="2" t="s">
        <v>22</v>
      </c>
      <c r="C14" s="2" t="n">
        <v>8</v>
      </c>
      <c r="D14" s="4" t="n">
        <v>45897</v>
      </c>
      <c r="E14" s="2" t="str">
        <f aca="false">VLOOKUP(TRIM(B14),'danh-muc-linh-kien'!$A$2:$D$11,2,FALSE())</f>
        <v>HDD 2.5 inch 500GB</v>
      </c>
      <c r="F14" s="3" t="n">
        <f aca="false">VLOOKUP(TRIM(B14),'danh-muc-linh-kien'!$A$2:$D$11,3,FALSE())</f>
        <v>720000</v>
      </c>
    </row>
    <row r="15" customFormat="false" ht="15" hidden="false" customHeight="false" outlineLevel="0" collapsed="false">
      <c r="A15" s="2" t="s">
        <v>44</v>
      </c>
      <c r="B15" s="2" t="s">
        <v>20</v>
      </c>
      <c r="C15" s="2" t="n">
        <v>2</v>
      </c>
      <c r="D15" s="4" t="n">
        <v>45662</v>
      </c>
      <c r="E15" s="2" t="str">
        <f aca="false">VLOOKUP(TRIM(B15),'danh-muc-linh-kien'!$A$2:$D$11,2,FALSE())</f>
        <v>SSD SATA 256GB</v>
      </c>
      <c r="F15" s="3" t="n">
        <f aca="false">VLOOKUP(TRIM(B15),'danh-muc-linh-kien'!$A$2:$D$11,3,FALSE())</f>
        <v>890000</v>
      </c>
    </row>
    <row r="16" customFormat="false" ht="15" hidden="false" customHeight="false" outlineLevel="0" collapsed="false">
      <c r="A16" s="2" t="s">
        <v>45</v>
      </c>
      <c r="B16" s="2" t="s">
        <v>46</v>
      </c>
      <c r="C16" s="2" t="n">
        <v>16</v>
      </c>
      <c r="D16" s="4" t="n">
        <v>45942</v>
      </c>
      <c r="E16" s="2" t="str">
        <f aca="false">VLOOKUP(TRIM(B16),'danh-muc-linh-kien'!$A$2:$D$11,2,FALSE())</f>
        <v>CPU ARM Cortex-A72 1.5GHz</v>
      </c>
      <c r="F16" s="3" t="n">
        <f aca="false">VLOOKUP(TRIM(B16),'danh-muc-linh-kien'!$A$2:$D$11,3,FALSE())</f>
        <v>1450000</v>
      </c>
    </row>
    <row r="17" customFormat="false" ht="15" hidden="false" customHeight="false" outlineLevel="0" collapsed="false">
      <c r="A17" s="2" t="s">
        <v>47</v>
      </c>
      <c r="B17" s="2" t="s">
        <v>22</v>
      </c>
      <c r="C17" s="2" t="n">
        <v>8</v>
      </c>
      <c r="D17" s="4" t="n">
        <v>45743</v>
      </c>
      <c r="E17" s="2" t="str">
        <f aca="false">VLOOKUP(TRIM(B17),'danh-muc-linh-kien'!$A$2:$D$11,2,FALSE())</f>
        <v>HDD 2.5 inch 500GB</v>
      </c>
      <c r="F17" s="3" t="n">
        <f aca="false">VLOOKUP(TRIM(B17),'danh-muc-linh-kien'!$A$2:$D$11,3,FALSE())</f>
        <v>720000</v>
      </c>
    </row>
    <row r="18" customFormat="false" ht="15" hidden="false" customHeight="false" outlineLevel="0" collapsed="false">
      <c r="A18" s="2" t="s">
        <v>48</v>
      </c>
      <c r="B18" s="2" t="s">
        <v>15</v>
      </c>
      <c r="C18" s="2" t="n">
        <v>8</v>
      </c>
      <c r="D18" s="4" t="n">
        <v>45893</v>
      </c>
      <c r="E18" s="2" t="str">
        <f aca="false">VLOOKUP(TRIM(B18),'danh-muc-linh-kien'!$A$2:$D$11,2,FALSE())</f>
        <v>RAM LPDDR4 8GB</v>
      </c>
      <c r="F18" s="3" t="n">
        <f aca="false">VLOOKUP(TRIM(B18),'danh-muc-linh-kien'!$A$2:$D$11,3,FALSE())</f>
        <v>980000</v>
      </c>
    </row>
    <row r="19" customFormat="false" ht="15" hidden="false" customHeight="false" outlineLevel="0" collapsed="false">
      <c r="A19" s="2" t="s">
        <v>49</v>
      </c>
      <c r="B19" s="2" t="s">
        <v>4</v>
      </c>
      <c r="C19" s="2" t="n">
        <v>2</v>
      </c>
      <c r="D19" s="4" t="n">
        <v>45729</v>
      </c>
      <c r="E19" s="2" t="str">
        <f aca="false">VLOOKUP(TRIM(B19),'danh-muc-linh-kien'!$A$2:$D$11,2,FALSE())</f>
        <v>CPU ARM Cortex-A72 1.5GHz</v>
      </c>
      <c r="F19" s="3" t="n">
        <f aca="false">VLOOKUP(TRIM(B19),'danh-muc-linh-kien'!$A$2:$D$11,3,FALSE())</f>
        <v>1450000</v>
      </c>
    </row>
    <row r="20" customFormat="false" ht="15" hidden="false" customHeight="false" outlineLevel="0" collapsed="false">
      <c r="A20" s="2" t="s">
        <v>50</v>
      </c>
      <c r="B20" s="2" t="s">
        <v>17</v>
      </c>
      <c r="C20" s="2" t="n">
        <v>8</v>
      </c>
      <c r="D20" s="4" t="n">
        <v>45768</v>
      </c>
      <c r="E20" s="2" t="str">
        <f aca="false">VLOOKUP(TRIM(B20),'danh-muc-linh-kien'!$A$2:$D$11,2,FALSE())</f>
        <v>SSD NVMe 128GB</v>
      </c>
      <c r="F20" s="3" t="n">
        <f aca="false">VLOOKUP(TRIM(B20),'danh-muc-linh-kien'!$A$2:$D$11,3,FALSE())</f>
        <v>650000</v>
      </c>
    </row>
    <row r="21" customFormat="false" ht="15" hidden="false" customHeight="false" outlineLevel="0" collapsed="false">
      <c r="A21" s="2" t="s">
        <v>51</v>
      </c>
      <c r="B21" s="2" t="s">
        <v>17</v>
      </c>
      <c r="C21" s="2" t="n">
        <v>2</v>
      </c>
      <c r="D21" s="4" t="n">
        <v>45726</v>
      </c>
      <c r="E21" s="2" t="str">
        <f aca="false">VLOOKUP(TRIM(B21),'danh-muc-linh-kien'!$A$2:$D$11,2,FALSE())</f>
        <v>SSD NVMe 128GB</v>
      </c>
      <c r="F21" s="3" t="n">
        <f aca="false">VLOOKUP(TRIM(B21),'danh-muc-linh-kien'!$A$2:$D$11,3,FALSE())</f>
        <v>650000</v>
      </c>
    </row>
    <row r="22" customFormat="false" ht="15" hidden="false" customHeight="false" outlineLevel="0" collapsed="false">
      <c r="A22" s="2" t="s">
        <v>52</v>
      </c>
      <c r="B22" s="2" t="s">
        <v>4</v>
      </c>
      <c r="C22" s="2" t="n">
        <v>4</v>
      </c>
      <c r="D22" s="4" t="n">
        <v>45876</v>
      </c>
      <c r="E22" s="2" t="str">
        <f aca="false">VLOOKUP(TRIM(B22),'danh-muc-linh-kien'!$A$2:$D$11,2,FALSE())</f>
        <v>CPU ARM Cortex-A72 1.5GHz</v>
      </c>
      <c r="F22" s="3" t="n">
        <f aca="false">VLOOKUP(TRIM(B22),'danh-muc-linh-kien'!$A$2:$D$11,3,FALSE())</f>
        <v>1450000</v>
      </c>
    </row>
    <row r="23" customFormat="false" ht="15" hidden="false" customHeight="false" outlineLevel="0" collapsed="false">
      <c r="A23" s="2" t="s">
        <v>53</v>
      </c>
      <c r="B23" s="2" t="s">
        <v>4</v>
      </c>
      <c r="C23" s="2" t="n">
        <v>16</v>
      </c>
      <c r="D23" s="4" t="n">
        <v>46139</v>
      </c>
      <c r="E23" s="2" t="str">
        <f aca="false">VLOOKUP(TRIM(B23),'danh-muc-linh-kien'!$A$2:$D$11,2,FALSE())</f>
        <v>CPU ARM Cortex-A72 1.5GHz</v>
      </c>
      <c r="F23" s="3" t="n">
        <f aca="false">VLOOKUP(TRIM(B23),'danh-muc-linh-kien'!$A$2:$D$11,3,FALSE())</f>
        <v>1450000</v>
      </c>
    </row>
    <row r="24" customFormat="false" ht="15" hidden="false" customHeight="false" outlineLevel="0" collapsed="false">
      <c r="A24" s="2" t="s">
        <v>54</v>
      </c>
      <c r="B24" s="2" t="s">
        <v>55</v>
      </c>
      <c r="C24" s="2" t="n">
        <v>2</v>
      </c>
      <c r="D24" s="4" t="n">
        <v>46087</v>
      </c>
      <c r="E24" s="2" t="str">
        <f aca="false">VLOOKUP(TRIM(B24),'danh-muc-linh-kien'!$A$2:$D$11,2,FALSE())</f>
        <v>SSD NVMe 128GB</v>
      </c>
      <c r="F24" s="3" t="n">
        <f aca="false">VLOOKUP(TRIM(B24),'danh-muc-linh-kien'!$A$2:$D$11,3,FALSE())</f>
        <v>650000</v>
      </c>
    </row>
    <row r="25" customFormat="false" ht="15" hidden="false" customHeight="false" outlineLevel="0" collapsed="false">
      <c r="A25" s="2" t="s">
        <v>56</v>
      </c>
      <c r="B25" s="2" t="s">
        <v>25</v>
      </c>
      <c r="C25" s="2" t="n">
        <v>8</v>
      </c>
      <c r="D25" s="4" t="n">
        <v>45861</v>
      </c>
      <c r="E25" s="2" t="str">
        <f aca="false">VLOOKUP(TRIM(B25),'danh-muc-linh-kien'!$A$2:$D$11,2,FALSE())</f>
        <v>SSD NVMe 512GB</v>
      </c>
      <c r="F25" s="3" t="n">
        <f aca="false">VLOOKUP(TRIM(B25),'danh-muc-linh-kien'!$A$2:$D$11,3,FALSE())</f>
        <v>1350000</v>
      </c>
    </row>
    <row r="26" customFormat="false" ht="15" hidden="false" customHeight="false" outlineLevel="0" collapsed="false">
      <c r="A26" s="2" t="s">
        <v>57</v>
      </c>
      <c r="B26" s="2" t="s">
        <v>15</v>
      </c>
      <c r="C26" s="2" t="n">
        <v>8</v>
      </c>
      <c r="D26" s="4" t="n">
        <v>45747</v>
      </c>
      <c r="E26" s="2" t="str">
        <f aca="false">VLOOKUP(TRIM(B26),'danh-muc-linh-kien'!$A$2:$D$11,2,FALSE())</f>
        <v>RAM LPDDR4 8GB</v>
      </c>
      <c r="F26" s="3" t="n">
        <f aca="false">VLOOKUP(TRIM(B26),'danh-muc-linh-kien'!$A$2:$D$11,3,FALSE())</f>
        <v>980000</v>
      </c>
    </row>
    <row r="27" customFormat="false" ht="15" hidden="false" customHeight="false" outlineLevel="0" collapsed="false">
      <c r="A27" s="2" t="s">
        <v>58</v>
      </c>
      <c r="B27" s="2" t="s">
        <v>15</v>
      </c>
      <c r="C27" s="2" t="n">
        <v>16</v>
      </c>
      <c r="D27" s="4" t="n">
        <v>45673</v>
      </c>
      <c r="E27" s="2" t="str">
        <f aca="false">VLOOKUP(TRIM(B27),'danh-muc-linh-kien'!$A$2:$D$11,2,FALSE())</f>
        <v>RAM LPDDR4 8GB</v>
      </c>
      <c r="F27" s="3" t="n">
        <f aca="false">VLOOKUP(TRIM(B27),'danh-muc-linh-kien'!$A$2:$D$11,3,FALSE())</f>
        <v>980000</v>
      </c>
    </row>
    <row r="28" customFormat="false" ht="15" hidden="false" customHeight="false" outlineLevel="0" collapsed="false">
      <c r="A28" s="2" t="s">
        <v>59</v>
      </c>
      <c r="B28" s="2" t="s">
        <v>7</v>
      </c>
      <c r="C28" s="2" t="n">
        <v>4</v>
      </c>
      <c r="D28" s="4" t="n">
        <v>45795</v>
      </c>
      <c r="E28" s="2" t="str">
        <f aca="false">VLOOKUP(TRIM(B28),'danh-muc-linh-kien'!$A$2:$D$11,2,FALSE())</f>
        <v>CPU ESP32-S3 Dual-core 240MHz</v>
      </c>
      <c r="F28" s="3" t="n">
        <f aca="false">VLOOKUP(TRIM(B28),'danh-muc-linh-kien'!$A$2:$D$11,3,FALSE())</f>
        <v>180000</v>
      </c>
    </row>
    <row r="29" customFormat="false" ht="15" hidden="false" customHeight="false" outlineLevel="0" collapsed="false">
      <c r="A29" s="2" t="s">
        <v>60</v>
      </c>
      <c r="B29" s="2" t="s">
        <v>7</v>
      </c>
      <c r="C29" s="2" t="n">
        <v>2</v>
      </c>
      <c r="D29" s="4" t="n">
        <v>45669</v>
      </c>
      <c r="E29" s="2" t="str">
        <f aca="false">VLOOKUP(TRIM(B29),'danh-muc-linh-kien'!$A$2:$D$11,2,FALSE())</f>
        <v>CPU ESP32-S3 Dual-core 240MHz</v>
      </c>
      <c r="F29" s="3" t="n">
        <f aca="false">VLOOKUP(TRIM(B29),'danh-muc-linh-kien'!$A$2:$D$11,3,FALSE())</f>
        <v>180000</v>
      </c>
    </row>
    <row r="30" customFormat="false" ht="15" hidden="false" customHeight="false" outlineLevel="0" collapsed="false">
      <c r="A30" s="2" t="s">
        <v>61</v>
      </c>
      <c r="B30" s="2" t="s">
        <v>20</v>
      </c>
      <c r="C30" s="2" t="n">
        <v>4</v>
      </c>
      <c r="D30" s="4" t="n">
        <v>46156</v>
      </c>
      <c r="E30" s="2" t="str">
        <f aca="false">VLOOKUP(TRIM(B30),'danh-muc-linh-kien'!$A$2:$D$11,2,FALSE())</f>
        <v>SSD SATA 256GB</v>
      </c>
      <c r="F30" s="3" t="n">
        <f aca="false">VLOOKUP(TRIM(B30),'danh-muc-linh-kien'!$A$2:$D$11,3,FALSE())</f>
        <v>890000</v>
      </c>
    </row>
    <row r="31" customFormat="false" ht="15" hidden="false" customHeight="false" outlineLevel="0" collapsed="false">
      <c r="A31" s="2" t="s">
        <v>62</v>
      </c>
      <c r="B31" s="2" t="s">
        <v>22</v>
      </c>
      <c r="C31" s="2" t="n">
        <v>16</v>
      </c>
      <c r="D31" s="4" t="n">
        <v>45850</v>
      </c>
      <c r="E31" s="2" t="str">
        <f aca="false">VLOOKUP(TRIM(B31),'danh-muc-linh-kien'!$A$2:$D$11,2,FALSE())</f>
        <v>HDD 2.5 inch 500GB</v>
      </c>
      <c r="F31" s="3" t="n">
        <f aca="false">VLOOKUP(TRIM(B31),'danh-muc-linh-kien'!$A$2:$D$11,3,FALSE())</f>
        <v>720000</v>
      </c>
    </row>
    <row r="32" customFormat="false" ht="15" hidden="false" customHeight="false" outlineLevel="0" collapsed="false">
      <c r="A32" s="2" t="s">
        <v>63</v>
      </c>
      <c r="B32" s="2" t="s">
        <v>64</v>
      </c>
      <c r="C32" s="2" t="n">
        <v>4</v>
      </c>
      <c r="D32" s="4" t="n">
        <v>45853</v>
      </c>
      <c r="E32" s="2" t="str">
        <f aca="false">VLOOKUP(TRIM(B32),'danh-muc-linh-kien'!$A$2:$D$11,2,FALSE())</f>
        <v>HDD 2.5 inch 500GB</v>
      </c>
      <c r="F32" s="3" t="n">
        <f aca="false">VLOOKUP(TRIM(B32),'danh-muc-linh-kien'!$A$2:$D$11,3,FALSE())</f>
        <v>720000</v>
      </c>
    </row>
    <row r="33" customFormat="false" ht="15" hidden="false" customHeight="false" outlineLevel="0" collapsed="false">
      <c r="A33" s="2" t="s">
        <v>65</v>
      </c>
      <c r="B33" s="2" t="s">
        <v>17</v>
      </c>
      <c r="C33" s="2" t="n">
        <v>2</v>
      </c>
      <c r="D33" s="4" t="n">
        <v>46050</v>
      </c>
      <c r="E33" s="2" t="str">
        <f aca="false">VLOOKUP(TRIM(B33),'danh-muc-linh-kien'!$A$2:$D$11,2,FALSE())</f>
        <v>SSD NVMe 128GB</v>
      </c>
      <c r="F33" s="3" t="n">
        <f aca="false">VLOOKUP(TRIM(B33),'danh-muc-linh-kien'!$A$2:$D$11,3,FALSE())</f>
        <v>650000</v>
      </c>
    </row>
    <row r="34" customFormat="false" ht="15" hidden="false" customHeight="false" outlineLevel="0" collapsed="false">
      <c r="A34" s="2" t="s">
        <v>66</v>
      </c>
      <c r="B34" s="2" t="s">
        <v>17</v>
      </c>
      <c r="C34" s="2" t="n">
        <v>4</v>
      </c>
      <c r="D34" s="4" t="n">
        <v>46088</v>
      </c>
      <c r="E34" s="2" t="str">
        <f aca="false">VLOOKUP(TRIM(B34),'danh-muc-linh-kien'!$A$2:$D$11,2,FALSE())</f>
        <v>SSD NVMe 128GB</v>
      </c>
      <c r="F34" s="3" t="n">
        <f aca="false">VLOOKUP(TRIM(B34),'danh-muc-linh-kien'!$A$2:$D$11,3,FALSE())</f>
        <v>650000</v>
      </c>
    </row>
    <row r="35" customFormat="false" ht="15" hidden="false" customHeight="false" outlineLevel="0" collapsed="false">
      <c r="A35" s="2" t="s">
        <v>67</v>
      </c>
      <c r="B35" s="2" t="s">
        <v>4</v>
      </c>
      <c r="C35" s="2" t="n">
        <v>8</v>
      </c>
      <c r="D35" s="4" t="n">
        <v>45934</v>
      </c>
      <c r="E35" s="2" t="str">
        <f aca="false">VLOOKUP(TRIM(B35),'danh-muc-linh-kien'!$A$2:$D$11,2,FALSE())</f>
        <v>CPU ARM Cortex-A72 1.5GHz</v>
      </c>
      <c r="F35" s="3" t="n">
        <f aca="false">VLOOKUP(TRIM(B35),'danh-muc-linh-kien'!$A$2:$D$11,3,FALSE())</f>
        <v>1450000</v>
      </c>
    </row>
    <row r="36" customFormat="false" ht="15" hidden="false" customHeight="false" outlineLevel="0" collapsed="false">
      <c r="A36" s="2" t="s">
        <v>68</v>
      </c>
      <c r="B36" s="2" t="s">
        <v>4</v>
      </c>
      <c r="C36" s="2" t="n">
        <v>4</v>
      </c>
      <c r="D36" s="4" t="n">
        <v>45873</v>
      </c>
      <c r="E36" s="2" t="str">
        <f aca="false">VLOOKUP(TRIM(B36),'danh-muc-linh-kien'!$A$2:$D$11,2,FALSE())</f>
        <v>CPU ARM Cortex-A72 1.5GHz</v>
      </c>
      <c r="F36" s="3" t="n">
        <f aca="false">VLOOKUP(TRIM(B36),'danh-muc-linh-kien'!$A$2:$D$11,3,FALSE())</f>
        <v>1450000</v>
      </c>
    </row>
    <row r="37" customFormat="false" ht="15" hidden="false" customHeight="false" outlineLevel="0" collapsed="false">
      <c r="A37" s="2" t="s">
        <v>69</v>
      </c>
      <c r="B37" s="2" t="s">
        <v>17</v>
      </c>
      <c r="C37" s="2" t="n">
        <v>2</v>
      </c>
      <c r="D37" s="4" t="n">
        <v>46248</v>
      </c>
      <c r="E37" s="2" t="str">
        <f aca="false">VLOOKUP(TRIM(B37),'danh-muc-linh-kien'!$A$2:$D$11,2,FALSE())</f>
        <v>SSD NVMe 128GB</v>
      </c>
      <c r="F37" s="3" t="n">
        <f aca="false">VLOOKUP(TRIM(B37),'danh-muc-linh-kien'!$A$2:$D$11,3,FALSE())</f>
        <v>650000</v>
      </c>
    </row>
    <row r="38" customFormat="false" ht="15" hidden="false" customHeight="false" outlineLevel="0" collapsed="false">
      <c r="A38" s="2" t="s">
        <v>70</v>
      </c>
      <c r="B38" s="2" t="s">
        <v>4</v>
      </c>
      <c r="C38" s="2" t="n">
        <v>4</v>
      </c>
      <c r="D38" s="4" t="n">
        <v>45807</v>
      </c>
      <c r="E38" s="2" t="str">
        <f aca="false">VLOOKUP(TRIM(B38),'danh-muc-linh-kien'!$A$2:$D$11,2,FALSE())</f>
        <v>CPU ARM Cortex-A72 1.5GHz</v>
      </c>
      <c r="F38" s="3" t="n">
        <f aca="false">VLOOKUP(TRIM(B38),'danh-muc-linh-kien'!$A$2:$D$11,3,FALSE())</f>
        <v>1450000</v>
      </c>
    </row>
    <row r="39" customFormat="false" ht="15" hidden="false" customHeight="false" outlineLevel="0" collapsed="false">
      <c r="A39" s="2" t="s">
        <v>71</v>
      </c>
      <c r="B39" s="2" t="s">
        <v>20</v>
      </c>
      <c r="C39" s="2" t="n">
        <v>2</v>
      </c>
      <c r="D39" s="4" t="n">
        <v>45922</v>
      </c>
      <c r="E39" s="2" t="str">
        <f aca="false">VLOOKUP(TRIM(B39),'danh-muc-linh-kien'!$A$2:$D$11,2,FALSE())</f>
        <v>SSD SATA 256GB</v>
      </c>
      <c r="F39" s="3" t="n">
        <f aca="false">VLOOKUP(TRIM(B39),'danh-muc-linh-kien'!$A$2:$D$11,3,FALSE())</f>
        <v>890000</v>
      </c>
    </row>
    <row r="40" customFormat="false" ht="15" hidden="false" customHeight="false" outlineLevel="0" collapsed="false">
      <c r="A40" s="2" t="s">
        <v>72</v>
      </c>
      <c r="B40" s="2" t="s">
        <v>25</v>
      </c>
      <c r="C40" s="2" t="n">
        <v>8</v>
      </c>
      <c r="D40" s="4" t="n">
        <v>45994</v>
      </c>
      <c r="E40" s="2" t="str">
        <f aca="false">VLOOKUP(TRIM(B40),'danh-muc-linh-kien'!$A$2:$D$11,2,FALSE())</f>
        <v>SSD NVMe 512GB</v>
      </c>
      <c r="F40" s="3" t="n">
        <f aca="false">VLOOKUP(TRIM(B40),'danh-muc-linh-kien'!$A$2:$D$11,3,FALSE())</f>
        <v>1350000</v>
      </c>
    </row>
    <row r="41" customFormat="false" ht="15" hidden="false" customHeight="false" outlineLevel="0" collapsed="false">
      <c r="A41" s="2" t="s">
        <v>73</v>
      </c>
      <c r="B41" s="2" t="s">
        <v>17</v>
      </c>
      <c r="C41" s="2" t="n">
        <v>2</v>
      </c>
      <c r="D41" s="4" t="n">
        <v>45733</v>
      </c>
      <c r="E41" s="2" t="str">
        <f aca="false">VLOOKUP(TRIM(B41),'danh-muc-linh-kien'!$A$2:$D$11,2,FALSE())</f>
        <v>SSD NVMe 128GB</v>
      </c>
      <c r="F41" s="3" t="n">
        <f aca="false">VLOOKUP(TRIM(B41),'danh-muc-linh-kien'!$A$2:$D$11,3,FALSE())</f>
        <v>650000</v>
      </c>
    </row>
    <row r="42" customFormat="false" ht="15" hidden="false" customHeight="false" outlineLevel="0" collapsed="false">
      <c r="A42" s="2" t="s">
        <v>74</v>
      </c>
      <c r="B42" s="2" t="s">
        <v>7</v>
      </c>
      <c r="C42" s="2" t="n">
        <v>4</v>
      </c>
      <c r="D42" s="4" t="n">
        <v>45871</v>
      </c>
      <c r="E42" s="2" t="str">
        <f aca="false">VLOOKUP(TRIM(B42),'danh-muc-linh-kien'!$A$2:$D$11,2,FALSE())</f>
        <v>CPU ESP32-S3 Dual-core 240MHz</v>
      </c>
      <c r="F42" s="3" t="n">
        <f aca="false">VLOOKUP(TRIM(B42),'danh-muc-linh-kien'!$A$2:$D$11,3,FALSE())</f>
        <v>180000</v>
      </c>
    </row>
    <row r="43" customFormat="false" ht="15" hidden="false" customHeight="false" outlineLevel="0" collapsed="false">
      <c r="A43" s="2" t="s">
        <v>75</v>
      </c>
      <c r="B43" s="2" t="s">
        <v>4</v>
      </c>
      <c r="C43" s="2" t="n">
        <v>8</v>
      </c>
      <c r="D43" s="4" t="n">
        <v>46035</v>
      </c>
      <c r="E43" s="2" t="str">
        <f aca="false">VLOOKUP(TRIM(B43),'danh-muc-linh-kien'!$A$2:$D$11,2,FALSE())</f>
        <v>CPU ARM Cortex-A72 1.5GHz</v>
      </c>
      <c r="F43" s="3" t="n">
        <f aca="false">VLOOKUP(TRIM(B43),'danh-muc-linh-kien'!$A$2:$D$11,3,FALSE())</f>
        <v>1450000</v>
      </c>
    </row>
    <row r="44" customFormat="false" ht="15" hidden="false" customHeight="false" outlineLevel="0" collapsed="false">
      <c r="A44" s="2" t="s">
        <v>76</v>
      </c>
      <c r="B44" s="2" t="s">
        <v>25</v>
      </c>
      <c r="C44" s="2" t="n">
        <v>4</v>
      </c>
      <c r="D44" s="4" t="n">
        <v>46122</v>
      </c>
      <c r="E44" s="2" t="str">
        <f aca="false">VLOOKUP(TRIM(B44),'danh-muc-linh-kien'!$A$2:$D$11,2,FALSE())</f>
        <v>SSD NVMe 512GB</v>
      </c>
      <c r="F44" s="3" t="n">
        <f aca="false">VLOOKUP(TRIM(B44),'danh-muc-linh-kien'!$A$2:$D$11,3,FALSE())</f>
        <v>1350000</v>
      </c>
    </row>
    <row r="45" customFormat="false" ht="15" hidden="false" customHeight="false" outlineLevel="0" collapsed="false">
      <c r="A45" s="2" t="s">
        <v>77</v>
      </c>
      <c r="B45" s="2" t="s">
        <v>78</v>
      </c>
      <c r="C45" s="2" t="n">
        <v>4</v>
      </c>
      <c r="D45" s="4" t="n">
        <v>46153</v>
      </c>
      <c r="E45" s="2" t="str">
        <f aca="false">VLOOKUP(TRIM(B45),'danh-muc-linh-kien'!$A$2:$D$11,2,FALSE())</f>
        <v>CPU ESP32-S3 Dual-core 240MHz</v>
      </c>
      <c r="F45" s="3" t="n">
        <f aca="false">VLOOKUP(TRIM(B45),'danh-muc-linh-kien'!$A$2:$D$11,3,FALSE())</f>
        <v>180000</v>
      </c>
    </row>
    <row r="46" customFormat="false" ht="15" hidden="false" customHeight="false" outlineLevel="0" collapsed="false">
      <c r="A46" s="2" t="s">
        <v>79</v>
      </c>
      <c r="B46" s="2" t="s">
        <v>17</v>
      </c>
      <c r="C46" s="2" t="n">
        <v>4</v>
      </c>
      <c r="D46" s="4" t="n">
        <v>45845</v>
      </c>
      <c r="E46" s="2" t="str">
        <f aca="false">VLOOKUP(TRIM(B46),'danh-muc-linh-kien'!$A$2:$D$11,2,FALSE())</f>
        <v>SSD NVMe 128GB</v>
      </c>
      <c r="F46" s="3" t="n">
        <f aca="false">VLOOKUP(TRIM(B46),'danh-muc-linh-kien'!$A$2:$D$11,3,FALSE())</f>
        <v>650000</v>
      </c>
    </row>
    <row r="47" customFormat="false" ht="15" hidden="false" customHeight="false" outlineLevel="0" collapsed="false">
      <c r="A47" s="2" t="s">
        <v>80</v>
      </c>
      <c r="B47" s="2" t="s">
        <v>13</v>
      </c>
      <c r="C47" s="2" t="n">
        <v>4</v>
      </c>
      <c r="D47" s="4" t="n">
        <v>45891</v>
      </c>
      <c r="E47" s="2" t="str">
        <f aca="false">VLOOKUP(TRIM(B47),'danh-muc-linh-kien'!$A$2:$D$11,2,FALSE())</f>
        <v>RAM LPDDR4 4GB</v>
      </c>
      <c r="F47" s="3" t="n">
        <f aca="false">VLOOKUP(TRIM(B47),'danh-muc-linh-kien'!$A$2:$D$11,3,FALSE())</f>
        <v>540000</v>
      </c>
    </row>
    <row r="48" customFormat="false" ht="15" hidden="false" customHeight="false" outlineLevel="0" collapsed="false">
      <c r="A48" s="2" t="s">
        <v>81</v>
      </c>
      <c r="B48" s="2" t="s">
        <v>11</v>
      </c>
      <c r="C48" s="2" t="n">
        <v>4</v>
      </c>
      <c r="D48" s="4" t="n">
        <v>45820</v>
      </c>
      <c r="E48" s="2" t="str">
        <f aca="false">VLOOKUP(TRIM(B48),'danh-muc-linh-kien'!$A$2:$D$11,2,FALSE())</f>
        <v>RAM LPDDR4 2GB</v>
      </c>
      <c r="F48" s="3" t="n">
        <f aca="false">VLOOKUP(TRIM(B48),'danh-muc-linh-kien'!$A$2:$D$11,3,FALSE())</f>
        <v>320000</v>
      </c>
    </row>
    <row r="49" customFormat="false" ht="15" hidden="false" customHeight="false" outlineLevel="0" collapsed="false">
      <c r="A49" s="2" t="s">
        <v>82</v>
      </c>
      <c r="B49" s="2" t="s">
        <v>17</v>
      </c>
      <c r="C49" s="2" t="n">
        <v>2</v>
      </c>
      <c r="D49" s="4" t="n">
        <v>46152</v>
      </c>
      <c r="E49" s="2" t="str">
        <f aca="false">VLOOKUP(TRIM(B49),'danh-muc-linh-kien'!$A$2:$D$11,2,FALSE())</f>
        <v>SSD NVMe 128GB</v>
      </c>
      <c r="F49" s="3" t="n">
        <f aca="false">VLOOKUP(TRIM(B49),'danh-muc-linh-kien'!$A$2:$D$11,3,FALSE())</f>
        <v>650000</v>
      </c>
    </row>
    <row r="50" customFormat="false" ht="15" hidden="false" customHeight="false" outlineLevel="0" collapsed="false">
      <c r="A50" s="2" t="s">
        <v>83</v>
      </c>
      <c r="B50" s="2" t="s">
        <v>17</v>
      </c>
      <c r="C50" s="2" t="n">
        <v>2</v>
      </c>
      <c r="D50" s="4" t="n">
        <v>45706</v>
      </c>
      <c r="E50" s="2" t="str">
        <f aca="false">VLOOKUP(TRIM(B50),'danh-muc-linh-kien'!$A$2:$D$11,2,FALSE())</f>
        <v>SSD NVMe 128GB</v>
      </c>
      <c r="F50" s="3" t="n">
        <f aca="false">VLOOKUP(TRIM(B50),'danh-muc-linh-kien'!$A$2:$D$11,3,FALSE())</f>
        <v>650000</v>
      </c>
    </row>
    <row r="51" customFormat="false" ht="15" hidden="false" customHeight="false" outlineLevel="0" collapsed="false">
      <c r="A51" s="2" t="s">
        <v>84</v>
      </c>
      <c r="B51" s="2" t="s">
        <v>7</v>
      </c>
      <c r="C51" s="2" t="n">
        <v>8</v>
      </c>
      <c r="D51" s="4" t="n">
        <v>45697</v>
      </c>
      <c r="E51" s="2" t="str">
        <f aca="false">VLOOKUP(TRIM(B51),'danh-muc-linh-kien'!$A$2:$D$11,2,FALSE())</f>
        <v>CPU ESP32-S3 Dual-core 240MHz</v>
      </c>
      <c r="F51" s="3" t="n">
        <f aca="false">VLOOKUP(TRIM(B51),'danh-muc-linh-kien'!$A$2:$D$11,3,FALSE())</f>
        <v>180000</v>
      </c>
    </row>
    <row r="52" customFormat="false" ht="15" hidden="false" customHeight="false" outlineLevel="0" collapsed="false">
      <c r="A52" s="2" t="s">
        <v>85</v>
      </c>
      <c r="B52" s="2" t="s">
        <v>11</v>
      </c>
      <c r="C52" s="2" t="n">
        <v>8</v>
      </c>
      <c r="D52" s="4" t="n">
        <v>46059</v>
      </c>
      <c r="E52" s="2" t="str">
        <f aca="false">VLOOKUP(TRIM(B52),'danh-muc-linh-kien'!$A$2:$D$11,2,FALSE())</f>
        <v>RAM LPDDR4 2GB</v>
      </c>
      <c r="F52" s="3" t="n">
        <f aca="false">VLOOKUP(TRIM(B52),'danh-muc-linh-kien'!$A$2:$D$11,3,FALSE())</f>
        <v>320000</v>
      </c>
    </row>
    <row r="53" customFormat="false" ht="15" hidden="false" customHeight="false" outlineLevel="0" collapsed="false">
      <c r="A53" s="2" t="s">
        <v>86</v>
      </c>
      <c r="B53" s="2" t="s">
        <v>17</v>
      </c>
      <c r="C53" s="2" t="n">
        <v>8</v>
      </c>
      <c r="D53" s="4" t="n">
        <v>46160</v>
      </c>
      <c r="E53" s="2" t="str">
        <f aca="false">VLOOKUP(TRIM(B53),'danh-muc-linh-kien'!$A$2:$D$11,2,FALSE())</f>
        <v>SSD NVMe 128GB</v>
      </c>
      <c r="F53" s="3" t="n">
        <f aca="false">VLOOKUP(TRIM(B53),'danh-muc-linh-kien'!$A$2:$D$11,3,FALSE())</f>
        <v>650000</v>
      </c>
    </row>
    <row r="54" customFormat="false" ht="15" hidden="false" customHeight="false" outlineLevel="0" collapsed="false">
      <c r="A54" s="2" t="s">
        <v>87</v>
      </c>
      <c r="B54" s="2" t="s">
        <v>22</v>
      </c>
      <c r="C54" s="2" t="n">
        <v>2</v>
      </c>
      <c r="D54" s="4" t="n">
        <v>45837</v>
      </c>
      <c r="E54" s="2" t="str">
        <f aca="false">VLOOKUP(TRIM(B54),'danh-muc-linh-kien'!$A$2:$D$11,2,FALSE())</f>
        <v>HDD 2.5 inch 500GB</v>
      </c>
      <c r="F54" s="3" t="n">
        <f aca="false">VLOOKUP(TRIM(B54),'danh-muc-linh-kien'!$A$2:$D$11,3,FALSE())</f>
        <v>720000</v>
      </c>
    </row>
    <row r="55" customFormat="false" ht="15" hidden="false" customHeight="false" outlineLevel="0" collapsed="false">
      <c r="A55" s="2" t="s">
        <v>88</v>
      </c>
      <c r="B55" s="2" t="s">
        <v>9</v>
      </c>
      <c r="C55" s="2" t="n">
        <v>16</v>
      </c>
      <c r="D55" s="4" t="n">
        <v>45891</v>
      </c>
      <c r="E55" s="2" t="str">
        <f aca="false">VLOOKUP(TRIM(B55),'danh-muc-linh-kien'!$A$2:$D$11,2,FALSE())</f>
        <v>CPU NVIDIA Jetson Nano</v>
      </c>
      <c r="F55" s="3" t="n">
        <f aca="false">VLOOKUP(TRIM(B55),'danh-muc-linh-kien'!$A$2:$D$11,3,FALSE())</f>
        <v>2400000</v>
      </c>
    </row>
    <row r="56" customFormat="false" ht="15" hidden="false" customHeight="false" outlineLevel="0" collapsed="false">
      <c r="A56" s="2" t="s">
        <v>89</v>
      </c>
      <c r="B56" s="2" t="s">
        <v>22</v>
      </c>
      <c r="C56" s="2" t="n">
        <v>8</v>
      </c>
      <c r="D56" s="4" t="n">
        <v>45733</v>
      </c>
      <c r="E56" s="2" t="str">
        <f aca="false">VLOOKUP(TRIM(B56),'danh-muc-linh-kien'!$A$2:$D$11,2,FALSE())</f>
        <v>HDD 2.5 inch 500GB</v>
      </c>
      <c r="F56" s="3" t="n">
        <f aca="false">VLOOKUP(TRIM(B56),'danh-muc-linh-kien'!$A$2:$D$11,3,FALSE())</f>
        <v>720000</v>
      </c>
    </row>
    <row r="57" customFormat="false" ht="15" hidden="false" customHeight="false" outlineLevel="0" collapsed="false">
      <c r="A57" s="2" t="s">
        <v>90</v>
      </c>
      <c r="B57" s="2" t="s">
        <v>11</v>
      </c>
      <c r="C57" s="2" t="n">
        <v>2</v>
      </c>
      <c r="D57" s="4" t="n">
        <v>45866</v>
      </c>
      <c r="E57" s="2" t="str">
        <f aca="false">VLOOKUP(TRIM(B57),'danh-muc-linh-kien'!$A$2:$D$11,2,FALSE())</f>
        <v>RAM LPDDR4 2GB</v>
      </c>
      <c r="F57" s="3" t="n">
        <f aca="false">VLOOKUP(TRIM(B57),'danh-muc-linh-kien'!$A$2:$D$11,3,FALSE())</f>
        <v>320000</v>
      </c>
    </row>
    <row r="58" customFormat="false" ht="15" hidden="false" customHeight="false" outlineLevel="0" collapsed="false">
      <c r="A58" s="2" t="s">
        <v>91</v>
      </c>
      <c r="B58" s="2" t="s">
        <v>7</v>
      </c>
      <c r="C58" s="2" t="n">
        <v>16</v>
      </c>
      <c r="D58" s="4" t="n">
        <v>45933</v>
      </c>
      <c r="E58" s="2" t="str">
        <f aca="false">VLOOKUP(TRIM(B58),'danh-muc-linh-kien'!$A$2:$D$11,2,FALSE())</f>
        <v>CPU ESP32-S3 Dual-core 240MHz</v>
      </c>
      <c r="F58" s="3" t="n">
        <f aca="false">VLOOKUP(TRIM(B58),'danh-muc-linh-kien'!$A$2:$D$11,3,FALSE())</f>
        <v>180000</v>
      </c>
    </row>
    <row r="59" customFormat="false" ht="15" hidden="false" customHeight="false" outlineLevel="0" collapsed="false">
      <c r="A59" s="2" t="s">
        <v>92</v>
      </c>
      <c r="B59" s="2" t="s">
        <v>93</v>
      </c>
      <c r="C59" s="2" t="n">
        <v>2</v>
      </c>
      <c r="D59" s="4" t="n">
        <v>45913</v>
      </c>
      <c r="E59" s="2" t="str">
        <f aca="false">VLOOKUP(TRIM(B59),'danh-muc-linh-kien'!$A$2:$D$11,2,FALSE())</f>
        <v>SSD NVMe 512GB</v>
      </c>
      <c r="F59" s="3" t="n">
        <f aca="false">VLOOKUP(TRIM(B59),'danh-muc-linh-kien'!$A$2:$D$11,3,FALSE())</f>
        <v>1350000</v>
      </c>
    </row>
    <row r="60" customFormat="false" ht="15" hidden="false" customHeight="false" outlineLevel="0" collapsed="false">
      <c r="A60" s="2" t="s">
        <v>94</v>
      </c>
      <c r="B60" s="2" t="s">
        <v>4</v>
      </c>
      <c r="C60" s="2" t="n">
        <v>8</v>
      </c>
      <c r="D60" s="4" t="n">
        <v>45838</v>
      </c>
      <c r="E60" s="2" t="str">
        <f aca="false">VLOOKUP(TRIM(B60),'danh-muc-linh-kien'!$A$2:$D$11,2,FALSE())</f>
        <v>CPU ARM Cortex-A72 1.5GHz</v>
      </c>
      <c r="F60" s="3" t="n">
        <f aca="false">VLOOKUP(TRIM(B60),'danh-muc-linh-kien'!$A$2:$D$11,3,FALSE())</f>
        <v>1450000</v>
      </c>
    </row>
    <row r="61" customFormat="false" ht="15" hidden="false" customHeight="false" outlineLevel="0" collapsed="false">
      <c r="A61" s="2" t="s">
        <v>95</v>
      </c>
      <c r="B61" s="2" t="s">
        <v>15</v>
      </c>
      <c r="C61" s="2" t="n">
        <v>4</v>
      </c>
      <c r="D61" s="4" t="n">
        <v>46201</v>
      </c>
      <c r="E61" s="2" t="str">
        <f aca="false">VLOOKUP(TRIM(B61),'danh-muc-linh-kien'!$A$2:$D$11,2,FALSE())</f>
        <v>RAM LPDDR4 8GB</v>
      </c>
      <c r="F61" s="3" t="n">
        <f aca="false">VLOOKUP(TRIM(B61),'danh-muc-linh-kien'!$A$2:$D$11,3,FALSE())</f>
        <v>980000</v>
      </c>
    </row>
    <row r="62" customFormat="false" ht="15" hidden="false" customHeight="false" outlineLevel="0" collapsed="false">
      <c r="A62" s="2" t="s">
        <v>96</v>
      </c>
      <c r="B62" s="2" t="s">
        <v>7</v>
      </c>
      <c r="C62" s="2" t="n">
        <v>4</v>
      </c>
      <c r="D62" s="4" t="n">
        <v>46028</v>
      </c>
      <c r="E62" s="2" t="str">
        <f aca="false">VLOOKUP(TRIM(B62),'danh-muc-linh-kien'!$A$2:$D$11,2,FALSE())</f>
        <v>CPU ESP32-S3 Dual-core 240MHz</v>
      </c>
      <c r="F62" s="3" t="n">
        <f aca="false">VLOOKUP(TRIM(B62),'danh-muc-linh-kien'!$A$2:$D$11,3,FALSE())</f>
        <v>180000</v>
      </c>
    </row>
    <row r="63" customFormat="false" ht="15" hidden="false" customHeight="false" outlineLevel="0" collapsed="false">
      <c r="A63" s="2" t="s">
        <v>97</v>
      </c>
      <c r="B63" s="2" t="s">
        <v>20</v>
      </c>
      <c r="C63" s="2" t="n">
        <v>4</v>
      </c>
      <c r="D63" s="4" t="n">
        <v>45996</v>
      </c>
      <c r="E63" s="2" t="str">
        <f aca="false">VLOOKUP(TRIM(B63),'danh-muc-linh-kien'!$A$2:$D$11,2,FALSE())</f>
        <v>SSD SATA 256GB</v>
      </c>
      <c r="F63" s="3" t="n">
        <f aca="false">VLOOKUP(TRIM(B63),'danh-muc-linh-kien'!$A$2:$D$11,3,FALSE())</f>
        <v>890000</v>
      </c>
    </row>
    <row r="64" customFormat="false" ht="15" hidden="false" customHeight="false" outlineLevel="0" collapsed="false">
      <c r="A64" s="2" t="s">
        <v>98</v>
      </c>
      <c r="B64" s="2" t="s">
        <v>25</v>
      </c>
      <c r="C64" s="2" t="n">
        <v>2</v>
      </c>
      <c r="D64" s="4" t="n">
        <v>45693</v>
      </c>
      <c r="E64" s="2" t="str">
        <f aca="false">VLOOKUP(TRIM(B64),'danh-muc-linh-kien'!$A$2:$D$11,2,FALSE())</f>
        <v>SSD NVMe 512GB</v>
      </c>
      <c r="F64" s="3" t="n">
        <f aca="false">VLOOKUP(TRIM(B64),'danh-muc-linh-kien'!$A$2:$D$11,3,FALSE())</f>
        <v>1350000</v>
      </c>
    </row>
    <row r="65" customFormat="false" ht="15" hidden="false" customHeight="false" outlineLevel="0" collapsed="false">
      <c r="A65" s="2" t="s">
        <v>99</v>
      </c>
      <c r="B65" s="2" t="s">
        <v>20</v>
      </c>
      <c r="C65" s="2" t="n">
        <v>8</v>
      </c>
      <c r="D65" s="4" t="n">
        <v>46024</v>
      </c>
      <c r="E65" s="2" t="str">
        <f aca="false">VLOOKUP(TRIM(B65),'danh-muc-linh-kien'!$A$2:$D$11,2,FALSE())</f>
        <v>SSD SATA 256GB</v>
      </c>
      <c r="F65" s="3" t="n">
        <f aca="false">VLOOKUP(TRIM(B65),'danh-muc-linh-kien'!$A$2:$D$11,3,FALSE())</f>
        <v>890000</v>
      </c>
    </row>
    <row r="66" customFormat="false" ht="15" hidden="false" customHeight="false" outlineLevel="0" collapsed="false">
      <c r="A66" s="2" t="s">
        <v>100</v>
      </c>
      <c r="B66" s="2" t="s">
        <v>4</v>
      </c>
      <c r="C66" s="2" t="n">
        <v>2</v>
      </c>
      <c r="D66" s="4" t="n">
        <v>45679</v>
      </c>
      <c r="E66" s="2" t="str">
        <f aca="false">VLOOKUP(TRIM(B66),'danh-muc-linh-kien'!$A$2:$D$11,2,FALSE())</f>
        <v>CPU ARM Cortex-A72 1.5GHz</v>
      </c>
      <c r="F66" s="3" t="n">
        <f aca="false">VLOOKUP(TRIM(B66),'danh-muc-linh-kien'!$A$2:$D$11,3,FALSE())</f>
        <v>1450000</v>
      </c>
    </row>
    <row r="67" customFormat="false" ht="15" hidden="false" customHeight="false" outlineLevel="0" collapsed="false">
      <c r="A67" s="2" t="s">
        <v>101</v>
      </c>
      <c r="B67" s="2" t="s">
        <v>20</v>
      </c>
      <c r="C67" s="2" t="n">
        <v>8</v>
      </c>
      <c r="D67" s="4" t="n">
        <v>45726</v>
      </c>
      <c r="E67" s="2" t="str">
        <f aca="false">VLOOKUP(TRIM(B67),'danh-muc-linh-kien'!$A$2:$D$11,2,FALSE())</f>
        <v>SSD SATA 256GB</v>
      </c>
      <c r="F67" s="3" t="n">
        <f aca="false">VLOOKUP(TRIM(B67),'danh-muc-linh-kien'!$A$2:$D$11,3,FALSE())</f>
        <v>890000</v>
      </c>
    </row>
    <row r="68" customFormat="false" ht="15" hidden="false" customHeight="false" outlineLevel="0" collapsed="false">
      <c r="A68" s="2" t="s">
        <v>102</v>
      </c>
      <c r="B68" s="2" t="s">
        <v>15</v>
      </c>
      <c r="C68" s="2" t="n">
        <v>2</v>
      </c>
      <c r="D68" s="4" t="n">
        <v>45797</v>
      </c>
      <c r="E68" s="2" t="str">
        <f aca="false">VLOOKUP(TRIM(B68),'danh-muc-linh-kien'!$A$2:$D$11,2,FALSE())</f>
        <v>RAM LPDDR4 8GB</v>
      </c>
      <c r="F68" s="3" t="n">
        <f aca="false">VLOOKUP(TRIM(B68),'danh-muc-linh-kien'!$A$2:$D$11,3,FALSE())</f>
        <v>980000</v>
      </c>
    </row>
    <row r="69" customFormat="false" ht="15" hidden="false" customHeight="false" outlineLevel="0" collapsed="false">
      <c r="A69" s="2" t="s">
        <v>103</v>
      </c>
      <c r="B69" s="2" t="s">
        <v>7</v>
      </c>
      <c r="C69" s="2" t="n">
        <v>8</v>
      </c>
      <c r="D69" s="4" t="n">
        <v>46121</v>
      </c>
      <c r="E69" s="2" t="str">
        <f aca="false">VLOOKUP(TRIM(B69),'danh-muc-linh-kien'!$A$2:$D$11,2,FALSE())</f>
        <v>CPU ESP32-S3 Dual-core 240MHz</v>
      </c>
      <c r="F69" s="3" t="n">
        <f aca="false">VLOOKUP(TRIM(B69),'danh-muc-linh-kien'!$A$2:$D$11,3,FALSE())</f>
        <v>180000</v>
      </c>
    </row>
    <row r="70" customFormat="false" ht="15" hidden="false" customHeight="false" outlineLevel="0" collapsed="false">
      <c r="A70" s="2" t="s">
        <v>104</v>
      </c>
      <c r="B70" s="2" t="s">
        <v>4</v>
      </c>
      <c r="C70" s="2" t="n">
        <v>8</v>
      </c>
      <c r="D70" s="4" t="n">
        <v>45790</v>
      </c>
      <c r="E70" s="2" t="str">
        <f aca="false">VLOOKUP(TRIM(B70),'danh-muc-linh-kien'!$A$2:$D$11,2,FALSE())</f>
        <v>CPU ARM Cortex-A72 1.5GHz</v>
      </c>
      <c r="F70" s="3" t="n">
        <f aca="false">VLOOKUP(TRIM(B70),'danh-muc-linh-kien'!$A$2:$D$11,3,FALSE())</f>
        <v>1450000</v>
      </c>
    </row>
    <row r="71" customFormat="false" ht="15" hidden="false" customHeight="false" outlineLevel="0" collapsed="false">
      <c r="A71" s="2" t="s">
        <v>105</v>
      </c>
      <c r="B71" s="2" t="s">
        <v>15</v>
      </c>
      <c r="C71" s="2" t="n">
        <v>16</v>
      </c>
      <c r="D71" s="4" t="n">
        <v>45744</v>
      </c>
      <c r="E71" s="2" t="str">
        <f aca="false">VLOOKUP(TRIM(B71),'danh-muc-linh-kien'!$A$2:$D$11,2,FALSE())</f>
        <v>RAM LPDDR4 8GB</v>
      </c>
      <c r="F71" s="3" t="n">
        <f aca="false">VLOOKUP(TRIM(B71),'danh-muc-linh-kien'!$A$2:$D$11,3,FALSE())</f>
        <v>980000</v>
      </c>
    </row>
    <row r="72" customFormat="false" ht="15" hidden="false" customHeight="false" outlineLevel="0" collapsed="false">
      <c r="A72" s="2" t="s">
        <v>106</v>
      </c>
      <c r="B72" s="2" t="s">
        <v>107</v>
      </c>
      <c r="C72" s="2" t="n">
        <v>2</v>
      </c>
      <c r="D72" s="4" t="n">
        <v>46085</v>
      </c>
      <c r="E72" s="2" t="str">
        <f aca="false">VLOOKUP(TRIM(B72),'danh-muc-linh-kien'!$A$2:$D$11,2,FALSE())</f>
        <v>RAM LPDDR4 4GB</v>
      </c>
      <c r="F72" s="3" t="n">
        <f aca="false">VLOOKUP(TRIM(B72),'danh-muc-linh-kien'!$A$2:$D$11,3,FALSE())</f>
        <v>540000</v>
      </c>
    </row>
    <row r="73" customFormat="false" ht="15" hidden="false" customHeight="false" outlineLevel="0" collapsed="false">
      <c r="A73" s="2" t="s">
        <v>108</v>
      </c>
      <c r="B73" s="2" t="s">
        <v>20</v>
      </c>
      <c r="C73" s="2" t="n">
        <v>2</v>
      </c>
      <c r="D73" s="4" t="n">
        <v>46244</v>
      </c>
      <c r="E73" s="2" t="str">
        <f aca="false">VLOOKUP(TRIM(B73),'danh-muc-linh-kien'!$A$2:$D$11,2,FALSE())</f>
        <v>SSD SATA 256GB</v>
      </c>
      <c r="F73" s="3" t="n">
        <f aca="false">VLOOKUP(TRIM(B73),'danh-muc-linh-kien'!$A$2:$D$11,3,FALSE())</f>
        <v>890000</v>
      </c>
    </row>
    <row r="74" customFormat="false" ht="15" hidden="false" customHeight="false" outlineLevel="0" collapsed="false">
      <c r="A74" s="2" t="s">
        <v>109</v>
      </c>
      <c r="B74" s="2" t="s">
        <v>25</v>
      </c>
      <c r="C74" s="2" t="n">
        <v>16</v>
      </c>
      <c r="D74" s="4" t="n">
        <v>46049</v>
      </c>
      <c r="E74" s="2" t="str">
        <f aca="false">VLOOKUP(TRIM(B74),'danh-muc-linh-kien'!$A$2:$D$11,2,FALSE())</f>
        <v>SSD NVMe 512GB</v>
      </c>
      <c r="F74" s="3" t="n">
        <f aca="false">VLOOKUP(TRIM(B74),'danh-muc-linh-kien'!$A$2:$D$11,3,FALSE())</f>
        <v>1350000</v>
      </c>
    </row>
    <row r="75" customFormat="false" ht="15" hidden="false" customHeight="false" outlineLevel="0" collapsed="false">
      <c r="A75" s="2" t="s">
        <v>110</v>
      </c>
      <c r="B75" s="2" t="s">
        <v>25</v>
      </c>
      <c r="C75" s="2" t="n">
        <v>2</v>
      </c>
      <c r="D75" s="4" t="n">
        <v>45670</v>
      </c>
      <c r="E75" s="2" t="str">
        <f aca="false">VLOOKUP(TRIM(B75),'danh-muc-linh-kien'!$A$2:$D$11,2,FALSE())</f>
        <v>SSD NVMe 512GB</v>
      </c>
      <c r="F75" s="3" t="n">
        <f aca="false">VLOOKUP(TRIM(B75),'danh-muc-linh-kien'!$A$2:$D$11,3,FALSE())</f>
        <v>1350000</v>
      </c>
    </row>
    <row r="76" customFormat="false" ht="15" hidden="false" customHeight="false" outlineLevel="0" collapsed="false">
      <c r="A76" s="2" t="s">
        <v>111</v>
      </c>
      <c r="B76" s="2" t="s">
        <v>7</v>
      </c>
      <c r="C76" s="2" t="n">
        <v>2</v>
      </c>
      <c r="D76" s="4" t="n">
        <v>45750</v>
      </c>
      <c r="E76" s="2" t="str">
        <f aca="false">VLOOKUP(TRIM(B76),'danh-muc-linh-kien'!$A$2:$D$11,2,FALSE())</f>
        <v>CPU ESP32-S3 Dual-core 240MHz</v>
      </c>
      <c r="F76" s="3" t="n">
        <f aca="false">VLOOKUP(TRIM(B76),'danh-muc-linh-kien'!$A$2:$D$11,3,FALSE())</f>
        <v>180000</v>
      </c>
    </row>
    <row r="77" customFormat="false" ht="15" hidden="false" customHeight="false" outlineLevel="0" collapsed="false">
      <c r="A77" s="2" t="s">
        <v>112</v>
      </c>
      <c r="B77" s="2" t="s">
        <v>13</v>
      </c>
      <c r="C77" s="2" t="n">
        <v>8</v>
      </c>
      <c r="D77" s="4" t="n">
        <v>46084</v>
      </c>
      <c r="E77" s="2" t="str">
        <f aca="false">VLOOKUP(TRIM(B77),'danh-muc-linh-kien'!$A$2:$D$11,2,FALSE())</f>
        <v>RAM LPDDR4 4GB</v>
      </c>
      <c r="F77" s="3" t="n">
        <f aca="false">VLOOKUP(TRIM(B77),'danh-muc-linh-kien'!$A$2:$D$11,3,FALSE())</f>
        <v>540000</v>
      </c>
    </row>
    <row r="78" customFormat="false" ht="15" hidden="false" customHeight="false" outlineLevel="0" collapsed="false">
      <c r="A78" s="2" t="s">
        <v>113</v>
      </c>
      <c r="B78" s="2" t="s">
        <v>17</v>
      </c>
      <c r="C78" s="2" t="n">
        <v>16</v>
      </c>
      <c r="D78" s="4" t="n">
        <v>46252</v>
      </c>
      <c r="E78" s="2" t="str">
        <f aca="false">VLOOKUP(TRIM(B78),'danh-muc-linh-kien'!$A$2:$D$11,2,FALSE())</f>
        <v>SSD NVMe 128GB</v>
      </c>
      <c r="F78" s="3" t="n">
        <f aca="false">VLOOKUP(TRIM(B78),'danh-muc-linh-kien'!$A$2:$D$11,3,FALSE())</f>
        <v>650000</v>
      </c>
    </row>
    <row r="79" customFormat="false" ht="15" hidden="false" customHeight="false" outlineLevel="0" collapsed="false">
      <c r="A79" s="2" t="s">
        <v>114</v>
      </c>
      <c r="B79" s="2" t="s">
        <v>20</v>
      </c>
      <c r="C79" s="2" t="n">
        <v>2</v>
      </c>
      <c r="D79" s="4" t="n">
        <v>46131</v>
      </c>
      <c r="E79" s="2" t="str">
        <f aca="false">VLOOKUP(TRIM(B79),'danh-muc-linh-kien'!$A$2:$D$11,2,FALSE())</f>
        <v>SSD SATA 256GB</v>
      </c>
      <c r="F79" s="3" t="n">
        <f aca="false">VLOOKUP(TRIM(B79),'danh-muc-linh-kien'!$A$2:$D$11,3,FALSE())</f>
        <v>890000</v>
      </c>
    </row>
    <row r="80" customFormat="false" ht="15" hidden="false" customHeight="false" outlineLevel="0" collapsed="false">
      <c r="A80" s="2" t="s">
        <v>115</v>
      </c>
      <c r="B80" s="2" t="s">
        <v>22</v>
      </c>
      <c r="C80" s="2" t="n">
        <v>2</v>
      </c>
      <c r="D80" s="4" t="n">
        <v>46184</v>
      </c>
      <c r="E80" s="2" t="str">
        <f aca="false">VLOOKUP(TRIM(B80),'danh-muc-linh-kien'!$A$2:$D$11,2,FALSE())</f>
        <v>HDD 2.5 inch 500GB</v>
      </c>
      <c r="F80" s="3" t="n">
        <f aca="false">VLOOKUP(TRIM(B80),'danh-muc-linh-kien'!$A$2:$D$11,3,FALSE())</f>
        <v>720000</v>
      </c>
    </row>
    <row r="81" customFormat="false" ht="15" hidden="false" customHeight="false" outlineLevel="0" collapsed="false">
      <c r="A81" s="2" t="s">
        <v>116</v>
      </c>
      <c r="B81" s="2" t="s">
        <v>13</v>
      </c>
      <c r="C81" s="2" t="n">
        <v>16</v>
      </c>
      <c r="D81" s="4" t="n">
        <v>45747</v>
      </c>
      <c r="E81" s="2" t="str">
        <f aca="false">VLOOKUP(TRIM(B81),'danh-muc-linh-kien'!$A$2:$D$11,2,FALSE())</f>
        <v>RAM LPDDR4 4GB</v>
      </c>
      <c r="F81" s="3" t="n">
        <f aca="false">VLOOKUP(TRIM(B81),'danh-muc-linh-kien'!$A$2:$D$11,3,FALSE())</f>
        <v>540000</v>
      </c>
    </row>
    <row r="82" customFormat="false" ht="15" hidden="false" customHeight="false" outlineLevel="0" collapsed="false">
      <c r="A82" s="2" t="s">
        <v>117</v>
      </c>
      <c r="B82" s="2" t="s">
        <v>4</v>
      </c>
      <c r="C82" s="2" t="n">
        <v>2</v>
      </c>
      <c r="D82" s="4" t="n">
        <v>45893</v>
      </c>
      <c r="E82" s="2" t="str">
        <f aca="false">VLOOKUP(TRIM(B82),'danh-muc-linh-kien'!$A$2:$D$11,2,FALSE())</f>
        <v>CPU ARM Cortex-A72 1.5GHz</v>
      </c>
      <c r="F82" s="3" t="n">
        <f aca="false">VLOOKUP(TRIM(B82),'danh-muc-linh-kien'!$A$2:$D$11,3,FALSE())</f>
        <v>1450000</v>
      </c>
    </row>
    <row r="83" customFormat="false" ht="15" hidden="false" customHeight="false" outlineLevel="0" collapsed="false">
      <c r="A83" s="2" t="s">
        <v>118</v>
      </c>
      <c r="B83" s="2" t="s">
        <v>20</v>
      </c>
      <c r="C83" s="2" t="n">
        <v>8</v>
      </c>
      <c r="D83" s="4" t="n">
        <v>46155</v>
      </c>
      <c r="E83" s="2" t="str">
        <f aca="false">VLOOKUP(TRIM(B83),'danh-muc-linh-kien'!$A$2:$D$11,2,FALSE())</f>
        <v>SSD SATA 256GB</v>
      </c>
      <c r="F83" s="3" t="n">
        <f aca="false">VLOOKUP(TRIM(B83),'danh-muc-linh-kien'!$A$2:$D$11,3,FALSE())</f>
        <v>890000</v>
      </c>
    </row>
    <row r="84" customFormat="false" ht="15" hidden="false" customHeight="false" outlineLevel="0" collapsed="false">
      <c r="A84" s="2" t="s">
        <v>119</v>
      </c>
      <c r="B84" s="2" t="s">
        <v>4</v>
      </c>
      <c r="C84" s="2" t="n">
        <v>8</v>
      </c>
      <c r="D84" s="4" t="n">
        <v>46034</v>
      </c>
      <c r="E84" s="2" t="str">
        <f aca="false">VLOOKUP(TRIM(B84),'danh-muc-linh-kien'!$A$2:$D$11,2,FALSE())</f>
        <v>CPU ARM Cortex-A72 1.5GHz</v>
      </c>
      <c r="F84" s="3" t="n">
        <f aca="false">VLOOKUP(TRIM(B84),'danh-muc-linh-kien'!$A$2:$D$11,3,FALSE())</f>
        <v>1450000</v>
      </c>
    </row>
    <row r="85" customFormat="false" ht="15" hidden="false" customHeight="false" outlineLevel="0" collapsed="false">
      <c r="A85" s="2" t="s">
        <v>120</v>
      </c>
      <c r="B85" s="2" t="s">
        <v>9</v>
      </c>
      <c r="C85" s="2" t="n">
        <v>4</v>
      </c>
      <c r="D85" s="4" t="n">
        <v>45865</v>
      </c>
      <c r="E85" s="2" t="str">
        <f aca="false">VLOOKUP(TRIM(B85),'danh-muc-linh-kien'!$A$2:$D$11,2,FALSE())</f>
        <v>CPU NVIDIA Jetson Nano</v>
      </c>
      <c r="F85" s="3" t="n">
        <f aca="false">VLOOKUP(TRIM(B85),'danh-muc-linh-kien'!$A$2:$D$11,3,FALSE())</f>
        <v>2400000</v>
      </c>
    </row>
    <row r="86" customFormat="false" ht="15" hidden="false" customHeight="false" outlineLevel="0" collapsed="false">
      <c r="A86" s="2" t="s">
        <v>121</v>
      </c>
      <c r="B86" s="2" t="s">
        <v>15</v>
      </c>
      <c r="C86" s="2" t="n">
        <v>16</v>
      </c>
      <c r="D86" s="4" t="n">
        <v>46110</v>
      </c>
      <c r="E86" s="2" t="str">
        <f aca="false">VLOOKUP(TRIM(B86),'danh-muc-linh-kien'!$A$2:$D$11,2,FALSE())</f>
        <v>RAM LPDDR4 8GB</v>
      </c>
      <c r="F86" s="3" t="n">
        <f aca="false">VLOOKUP(TRIM(B86),'danh-muc-linh-kien'!$A$2:$D$11,3,FALSE())</f>
        <v>980000</v>
      </c>
    </row>
    <row r="87" customFormat="false" ht="15" hidden="false" customHeight="false" outlineLevel="0" collapsed="false">
      <c r="A87" s="2" t="s">
        <v>122</v>
      </c>
      <c r="B87" s="2" t="s">
        <v>123</v>
      </c>
      <c r="C87" s="2" t="n">
        <v>16</v>
      </c>
      <c r="D87" s="4" t="n">
        <v>45992</v>
      </c>
      <c r="E87" s="2" t="str">
        <f aca="false">VLOOKUP(TRIM(B87),'danh-muc-linh-kien'!$A$2:$D$11,2,FALSE())</f>
        <v>SSD SATA 256GB</v>
      </c>
      <c r="F87" s="3" t="n">
        <f aca="false">VLOOKUP(TRIM(B87),'danh-muc-linh-kien'!$A$2:$D$11,3,FALSE())</f>
        <v>890000</v>
      </c>
    </row>
    <row r="88" customFormat="false" ht="15" hidden="false" customHeight="false" outlineLevel="0" collapsed="false">
      <c r="A88" s="2" t="s">
        <v>124</v>
      </c>
      <c r="B88" s="2" t="s">
        <v>13</v>
      </c>
      <c r="C88" s="2" t="n">
        <v>16</v>
      </c>
      <c r="D88" s="4" t="n">
        <v>45861</v>
      </c>
      <c r="E88" s="2" t="str">
        <f aca="false">VLOOKUP(TRIM(B88),'danh-muc-linh-kien'!$A$2:$D$11,2,FALSE())</f>
        <v>RAM LPDDR4 4GB</v>
      </c>
      <c r="F88" s="3" t="n">
        <f aca="false">VLOOKUP(TRIM(B88),'danh-muc-linh-kien'!$A$2:$D$11,3,FALSE())</f>
        <v>540000</v>
      </c>
    </row>
    <row r="89" customFormat="false" ht="15" hidden="false" customHeight="false" outlineLevel="0" collapsed="false">
      <c r="A89" s="2" t="s">
        <v>125</v>
      </c>
      <c r="B89" s="2" t="s">
        <v>11</v>
      </c>
      <c r="C89" s="2" t="n">
        <v>16</v>
      </c>
      <c r="D89" s="4" t="n">
        <v>45877</v>
      </c>
      <c r="E89" s="2" t="str">
        <f aca="false">VLOOKUP(TRIM(B89),'danh-muc-linh-kien'!$A$2:$D$11,2,FALSE())</f>
        <v>RAM LPDDR4 2GB</v>
      </c>
      <c r="F89" s="3" t="n">
        <f aca="false">VLOOKUP(TRIM(B89),'danh-muc-linh-kien'!$A$2:$D$11,3,FALSE())</f>
        <v>320000</v>
      </c>
    </row>
    <row r="90" customFormat="false" ht="15" hidden="false" customHeight="false" outlineLevel="0" collapsed="false">
      <c r="A90" s="2" t="s">
        <v>126</v>
      </c>
      <c r="B90" s="2" t="s">
        <v>11</v>
      </c>
      <c r="C90" s="2" t="n">
        <v>8</v>
      </c>
      <c r="D90" s="4" t="n">
        <v>46255</v>
      </c>
      <c r="E90" s="2" t="str">
        <f aca="false">VLOOKUP(TRIM(B90),'danh-muc-linh-kien'!$A$2:$D$11,2,FALSE())</f>
        <v>RAM LPDDR4 2GB</v>
      </c>
      <c r="F90" s="3" t="n">
        <f aca="false">VLOOKUP(TRIM(B90),'danh-muc-linh-kien'!$A$2:$D$11,3,FALSE())</f>
        <v>320000</v>
      </c>
    </row>
    <row r="91" customFormat="false" ht="15" hidden="false" customHeight="false" outlineLevel="0" collapsed="false">
      <c r="A91" s="2" t="s">
        <v>127</v>
      </c>
      <c r="B91" s="2" t="s">
        <v>11</v>
      </c>
      <c r="C91" s="2" t="n">
        <v>4</v>
      </c>
      <c r="D91" s="4" t="n">
        <v>45797</v>
      </c>
      <c r="E91" s="2" t="str">
        <f aca="false">VLOOKUP(TRIM(B91),'danh-muc-linh-kien'!$A$2:$D$11,2,FALSE())</f>
        <v>RAM LPDDR4 2GB</v>
      </c>
      <c r="F91" s="3" t="n">
        <f aca="false">VLOOKUP(TRIM(B91),'danh-muc-linh-kien'!$A$2:$D$11,3,FALSE())</f>
        <v>320000</v>
      </c>
    </row>
    <row r="92" customFormat="false" ht="15" hidden="false" customHeight="false" outlineLevel="0" collapsed="false">
      <c r="A92" s="2" t="s">
        <v>128</v>
      </c>
      <c r="B92" s="2" t="s">
        <v>20</v>
      </c>
      <c r="C92" s="2" t="n">
        <v>2</v>
      </c>
      <c r="D92" s="4" t="n">
        <v>46017</v>
      </c>
      <c r="E92" s="2" t="str">
        <f aca="false">VLOOKUP(TRIM(B92),'danh-muc-linh-kien'!$A$2:$D$11,2,FALSE())</f>
        <v>SSD SATA 256GB</v>
      </c>
      <c r="F92" s="3" t="n">
        <f aca="false">VLOOKUP(TRIM(B92),'danh-muc-linh-kien'!$A$2:$D$11,3,FALSE())</f>
        <v>890000</v>
      </c>
    </row>
    <row r="93" customFormat="false" ht="15" hidden="false" customHeight="false" outlineLevel="0" collapsed="false">
      <c r="A93" s="2" t="s">
        <v>129</v>
      </c>
      <c r="B93" s="2" t="s">
        <v>7</v>
      </c>
      <c r="C93" s="2" t="n">
        <v>4</v>
      </c>
      <c r="D93" s="4" t="n">
        <v>45941</v>
      </c>
      <c r="E93" s="2" t="str">
        <f aca="false">VLOOKUP(TRIM(B93),'danh-muc-linh-kien'!$A$2:$D$11,2,FALSE())</f>
        <v>CPU ESP32-S3 Dual-core 240MHz</v>
      </c>
      <c r="F93" s="3" t="n">
        <f aca="false">VLOOKUP(TRIM(B93),'danh-muc-linh-kien'!$A$2:$D$11,3,FALSE())</f>
        <v>180000</v>
      </c>
    </row>
    <row r="94" customFormat="false" ht="15" hidden="false" customHeight="false" outlineLevel="0" collapsed="false">
      <c r="A94" s="2" t="s">
        <v>130</v>
      </c>
      <c r="B94" s="2" t="s">
        <v>131</v>
      </c>
      <c r="C94" s="2" t="n">
        <v>16</v>
      </c>
      <c r="D94" s="4" t="n">
        <v>46119</v>
      </c>
      <c r="E94" s="2" t="str">
        <f aca="false">VLOOKUP(TRIM(B94),'danh-muc-linh-kien'!$A$2:$D$11,2,FALSE())</f>
        <v>RAM LPDDR4 2GB</v>
      </c>
      <c r="F94" s="3" t="n">
        <f aca="false">VLOOKUP(TRIM(B94),'danh-muc-linh-kien'!$A$2:$D$11,3,FALSE())</f>
        <v>320000</v>
      </c>
    </row>
    <row r="95" customFormat="false" ht="15" hidden="false" customHeight="false" outlineLevel="0" collapsed="false">
      <c r="A95" s="2" t="s">
        <v>132</v>
      </c>
      <c r="B95" s="2" t="s">
        <v>13</v>
      </c>
      <c r="C95" s="2" t="n">
        <v>16</v>
      </c>
      <c r="D95" s="4" t="n">
        <v>45877</v>
      </c>
      <c r="E95" s="2" t="str">
        <f aca="false">VLOOKUP(TRIM(B95),'danh-muc-linh-kien'!$A$2:$D$11,2,FALSE())</f>
        <v>RAM LPDDR4 4GB</v>
      </c>
      <c r="F95" s="3" t="n">
        <f aca="false">VLOOKUP(TRIM(B95),'danh-muc-linh-kien'!$A$2:$D$11,3,FALSE())</f>
        <v>540000</v>
      </c>
    </row>
    <row r="96" customFormat="false" ht="15" hidden="false" customHeight="false" outlineLevel="0" collapsed="false">
      <c r="A96" s="2" t="s">
        <v>133</v>
      </c>
      <c r="B96" s="2" t="s">
        <v>17</v>
      </c>
      <c r="C96" s="2" t="n">
        <v>16</v>
      </c>
      <c r="D96" s="4" t="n">
        <v>46190</v>
      </c>
      <c r="E96" s="2" t="str">
        <f aca="false">VLOOKUP(TRIM(B96),'danh-muc-linh-kien'!$A$2:$D$11,2,FALSE())</f>
        <v>SSD NVMe 128GB</v>
      </c>
      <c r="F96" s="3" t="n">
        <f aca="false">VLOOKUP(TRIM(B96),'danh-muc-linh-kien'!$A$2:$D$11,3,FALSE())</f>
        <v>650000</v>
      </c>
    </row>
    <row r="97" customFormat="false" ht="15" hidden="false" customHeight="false" outlineLevel="0" collapsed="false">
      <c r="A97" s="2" t="s">
        <v>134</v>
      </c>
      <c r="B97" s="2" t="s">
        <v>15</v>
      </c>
      <c r="C97" s="2" t="n">
        <v>8</v>
      </c>
      <c r="D97" s="4" t="n">
        <v>46121</v>
      </c>
      <c r="E97" s="2" t="str">
        <f aca="false">VLOOKUP(TRIM(B97),'danh-muc-linh-kien'!$A$2:$D$11,2,FALSE())</f>
        <v>RAM LPDDR4 8GB</v>
      </c>
      <c r="F97" s="3" t="n">
        <f aca="false">VLOOKUP(TRIM(B97),'danh-muc-linh-kien'!$A$2:$D$11,3,FALSE())</f>
        <v>980000</v>
      </c>
    </row>
    <row r="98" customFormat="false" ht="15" hidden="false" customHeight="false" outlineLevel="0" collapsed="false">
      <c r="A98" s="2" t="s">
        <v>135</v>
      </c>
      <c r="B98" s="2" t="s">
        <v>7</v>
      </c>
      <c r="C98" s="2" t="n">
        <v>8</v>
      </c>
      <c r="D98" s="4" t="n">
        <v>45690</v>
      </c>
      <c r="E98" s="2" t="str">
        <f aca="false">VLOOKUP(TRIM(B98),'danh-muc-linh-kien'!$A$2:$D$11,2,FALSE())</f>
        <v>CPU ESP32-S3 Dual-core 240MHz</v>
      </c>
      <c r="F98" s="3" t="n">
        <f aca="false">VLOOKUP(TRIM(B98),'danh-muc-linh-kien'!$A$2:$D$11,3,FALSE())</f>
        <v>180000</v>
      </c>
    </row>
    <row r="99" customFormat="false" ht="15" hidden="false" customHeight="false" outlineLevel="0" collapsed="false">
      <c r="A99" s="2" t="s">
        <v>136</v>
      </c>
      <c r="B99" s="2" t="s">
        <v>25</v>
      </c>
      <c r="C99" s="2" t="n">
        <v>8</v>
      </c>
      <c r="D99" s="4" t="n">
        <v>45700</v>
      </c>
      <c r="E99" s="2" t="str">
        <f aca="false">VLOOKUP(TRIM(B99),'danh-muc-linh-kien'!$A$2:$D$11,2,FALSE())</f>
        <v>SSD NVMe 512GB</v>
      </c>
      <c r="F99" s="3" t="n">
        <f aca="false">VLOOKUP(TRIM(B99),'danh-muc-linh-kien'!$A$2:$D$11,3,FALSE())</f>
        <v>1350000</v>
      </c>
    </row>
    <row r="100" customFormat="false" ht="15" hidden="false" customHeight="false" outlineLevel="0" collapsed="false">
      <c r="A100" s="2" t="s">
        <v>137</v>
      </c>
      <c r="B100" s="2" t="s">
        <v>25</v>
      </c>
      <c r="C100" s="2" t="n">
        <v>8</v>
      </c>
      <c r="D100" s="4" t="n">
        <v>46020</v>
      </c>
      <c r="E100" s="2" t="str">
        <f aca="false">VLOOKUP(TRIM(B100),'danh-muc-linh-kien'!$A$2:$D$11,2,FALSE())</f>
        <v>SSD NVMe 512GB</v>
      </c>
      <c r="F100" s="3" t="n">
        <f aca="false">VLOOKUP(TRIM(B100),'danh-muc-linh-kien'!$A$2:$D$11,3,FALSE())</f>
        <v>1350000</v>
      </c>
    </row>
    <row r="101" customFormat="false" ht="15" hidden="false" customHeight="false" outlineLevel="0" collapsed="false">
      <c r="A101" s="2" t="s">
        <v>138</v>
      </c>
      <c r="B101" s="2" t="s">
        <v>25</v>
      </c>
      <c r="C101" s="2" t="n">
        <v>4</v>
      </c>
      <c r="D101" s="4" t="n">
        <v>45677</v>
      </c>
      <c r="E101" s="2" t="str">
        <f aca="false">VLOOKUP(TRIM(B101),'danh-muc-linh-kien'!$A$2:$D$11,2,FALSE())</f>
        <v>SSD NVMe 512GB</v>
      </c>
      <c r="F101" s="3" t="n">
        <f aca="false">VLOOKUP(TRIM(B101),'danh-muc-linh-kien'!$A$2:$D$11,3,FALSE())</f>
        <v>1350000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5" t="s">
        <v>139</v>
      </c>
      <c r="B1" s="5" t="s">
        <v>140</v>
      </c>
      <c r="C1" s="5" t="s">
        <v>141</v>
      </c>
    </row>
    <row r="2" customFormat="false" ht="15" hidden="false" customHeight="false" outlineLevel="0" collapsed="false">
      <c r="A2" s="6" t="s">
        <v>142</v>
      </c>
      <c r="B2" s="7" t="n">
        <v>500</v>
      </c>
      <c r="C2" s="7" t="s">
        <v>143</v>
      </c>
    </row>
    <row r="3" customFormat="false" ht="15" hidden="false" customHeight="false" outlineLevel="0" collapsed="false">
      <c r="A3" s="6" t="s">
        <v>144</v>
      </c>
      <c r="B3" s="7" t="n">
        <v>100</v>
      </c>
      <c r="C3" s="6" t="s">
        <v>145</v>
      </c>
    </row>
    <row r="4" customFormat="false" ht="15" hidden="false" customHeight="false" outlineLevel="0" collapsed="false">
      <c r="A4" s="6" t="s">
        <v>146</v>
      </c>
      <c r="B4" s="7" t="n">
        <v>8</v>
      </c>
      <c r="C4" s="6" t="s">
        <v>147</v>
      </c>
    </row>
    <row r="5" customFormat="false" ht="15" hidden="false" customHeight="false" outlineLevel="0" collapsed="false">
      <c r="A5" s="6" t="s">
        <v>148</v>
      </c>
      <c r="B5" s="8" t="n">
        <f aca="false">B3/B4</f>
        <v>12.5</v>
      </c>
      <c r="C5" s="6" t="s">
        <v>149</v>
      </c>
    </row>
    <row r="6" customFormat="false" ht="15" hidden="false" customHeight="false" outlineLevel="0" collapsed="false">
      <c r="A6" s="6" t="s">
        <v>150</v>
      </c>
      <c r="B6" s="9" t="n">
        <f aca="false">B2/B5</f>
        <v>40</v>
      </c>
      <c r="C6" s="6" t="s">
        <v>151</v>
      </c>
    </row>
    <row r="7" customFormat="false" ht="15" hidden="false" customHeight="false" outlineLevel="0" collapsed="false">
      <c r="A7" s="6" t="s">
        <v>152</v>
      </c>
      <c r="B7" s="8" t="n">
        <f aca="false">B6/60</f>
        <v>0.666666666666667</v>
      </c>
      <c r="C7" s="6"/>
    </row>
    <row r="9" customFormat="false" ht="15" hidden="false" customHeight="false" outlineLevel="0" collapsed="false">
      <c r="A9" s="1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2026-10-27T04:14:33Z</dcterms:created>
  <dc:creator>openpyxl</dc:creator>
  <dc:description/>
  <dc:language>en-US</dc:language>
  <cp:lastModifiedBy/>
  <dcterms:modified xsi:type="dcterms:W3CDTF">2026-10-27T04:14:33Z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